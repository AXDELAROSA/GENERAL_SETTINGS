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P:\IT\001_DEVELOPER_FILES\GitHub\GENERAL_SETTINGS\Scripts_R001_SYS_TAG_X_FORMA\"/>
    </mc:Choice>
  </mc:AlternateContent>
  <bookViews>
    <workbookView xWindow="0" yWindow="0" windowWidth="20490" windowHeight="7620"/>
  </bookViews>
  <sheets>
    <sheet name="CI_" sheetId="1" r:id="rId1"/>
    <sheet name="Sheet1" sheetId="3" r:id="rId2"/>
    <sheet name="Sheet4" sheetId="5" r:id="rId3"/>
    <sheet name="MENUSS" sheetId="4" r:id="rId4"/>
  </sheets>
  <definedNames>
    <definedName name="_xlnm._FilterDatabase" localSheetId="0" hidden="1">CI_!$A$1:$R$11</definedName>
    <definedName name="_xlnm._FilterDatabase" localSheetId="3" hidden="1">MENUSS!$B$3:$D$3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0" i="1" l="1"/>
  <c r="O71" i="1"/>
  <c r="O72" i="1"/>
  <c r="O73" i="1"/>
  <c r="O74" i="1"/>
  <c r="R1" i="1" l="1"/>
  <c r="G3" i="1"/>
  <c r="O6" i="1" l="1"/>
  <c r="O5" i="1"/>
  <c r="O10" i="1"/>
  <c r="O13" i="1"/>
  <c r="O16" i="1"/>
  <c r="O19" i="1"/>
  <c r="O22" i="1"/>
  <c r="O25" i="1"/>
  <c r="O28" i="1"/>
  <c r="O31" i="1"/>
  <c r="O34" i="1"/>
  <c r="O37" i="1"/>
  <c r="O40" i="1"/>
  <c r="O43" i="1"/>
  <c r="O46" i="1"/>
  <c r="O49" i="1"/>
  <c r="O52" i="1"/>
  <c r="O55" i="1"/>
  <c r="O58" i="1"/>
  <c r="O61" i="1"/>
  <c r="O64" i="1"/>
  <c r="O67" i="1"/>
  <c r="O3" i="1"/>
  <c r="O9" i="1"/>
  <c r="O7" i="1"/>
  <c r="O11" i="1"/>
  <c r="O14" i="1"/>
  <c r="O17" i="1"/>
  <c r="O20" i="1"/>
  <c r="O23" i="1"/>
  <c r="O26" i="1"/>
  <c r="O29" i="1"/>
  <c r="O32" i="1"/>
  <c r="O35" i="1"/>
  <c r="O38" i="1"/>
  <c r="O41" i="1"/>
  <c r="O44" i="1"/>
  <c r="O47" i="1"/>
  <c r="O50" i="1"/>
  <c r="O53" i="1"/>
  <c r="O56" i="1"/>
  <c r="O59" i="1"/>
  <c r="O62" i="1"/>
  <c r="O65" i="1"/>
  <c r="O68" i="1"/>
  <c r="O4" i="1"/>
  <c r="O8" i="1"/>
  <c r="O12" i="1"/>
  <c r="O15" i="1"/>
  <c r="O18" i="1"/>
  <c r="O21" i="1"/>
  <c r="O24" i="1"/>
  <c r="O27" i="1"/>
  <c r="O30" i="1"/>
  <c r="O33" i="1"/>
  <c r="O36" i="1"/>
  <c r="O39" i="1"/>
  <c r="O42" i="1"/>
  <c r="O45" i="1"/>
  <c r="O48" i="1"/>
  <c r="O51" i="1"/>
  <c r="O54" i="1"/>
  <c r="O57" i="1"/>
  <c r="O60" i="1"/>
  <c r="O63" i="1"/>
  <c r="O66" i="1"/>
  <c r="O69" i="1"/>
  <c r="O2" i="1"/>
</calcChain>
</file>

<file path=xl/sharedStrings.xml><?xml version="1.0" encoding="utf-8"?>
<sst xmlns="http://schemas.openxmlformats.org/spreadsheetml/2006/main" count="1876" uniqueCount="1047">
  <si>
    <t>K_USUARIO_ACCION</t>
  </si>
  <si>
    <t xml:space="preserve">] </t>
  </si>
  <si>
    <t>-</t>
  </si>
  <si>
    <t>???</t>
  </si>
  <si>
    <t>EXECUTE [dbo].[</t>
  </si>
  <si>
    <t>production report</t>
  </si>
  <si>
    <t>supervisors</t>
  </si>
  <si>
    <t>production</t>
  </si>
  <si>
    <t>rejects</t>
  </si>
  <si>
    <t>planning screen</t>
  </si>
  <si>
    <t>transactions</t>
  </si>
  <si>
    <t>hides scanner</t>
  </si>
  <si>
    <t>packing slip</t>
  </si>
  <si>
    <t>transfer mct to mfp</t>
  </si>
  <si>
    <t>mfp inventory</t>
  </si>
  <si>
    <t>labels</t>
  </si>
  <si>
    <t>hide labels</t>
  </si>
  <si>
    <t>ppms</t>
  </si>
  <si>
    <t>load release</t>
  </si>
  <si>
    <t>edi weekly rpt</t>
  </si>
  <si>
    <t>daily inventory</t>
  </si>
  <si>
    <t>hides allocation</t>
  </si>
  <si>
    <t>human resources</t>
  </si>
  <si>
    <t>stock status</t>
  </si>
  <si>
    <t>excel production report</t>
  </si>
  <si>
    <t>bell curve</t>
  </si>
  <si>
    <t>transaction report</t>
  </si>
  <si>
    <t>certification report</t>
  </si>
  <si>
    <t>folios inventory</t>
  </si>
  <si>
    <t>quality rejects</t>
  </si>
  <si>
    <t>packing macola</t>
  </si>
  <si>
    <t>tags</t>
  </si>
  <si>
    <t>sales by cust</t>
  </si>
  <si>
    <t>poliza de nomina</t>
  </si>
  <si>
    <t>history by job no</t>
  </si>
  <si>
    <t>pattern labels</t>
  </si>
  <si>
    <t>cumulative report</t>
  </si>
  <si>
    <t>incoming inspection</t>
  </si>
  <si>
    <t>status de ordenes</t>
  </si>
  <si>
    <t>colors mant</t>
  </si>
  <si>
    <t>update target</t>
  </si>
  <si>
    <t>lot comp</t>
  </si>
  <si>
    <t>engineering screen</t>
  </si>
  <si>
    <t>prod category</t>
  </si>
  <si>
    <t>item master</t>
  </si>
  <si>
    <t>kit master</t>
  </si>
  <si>
    <t>add location</t>
  </si>
  <si>
    <t>billing</t>
  </si>
  <si>
    <t>trans folios</t>
  </si>
  <si>
    <t>re-print invoice</t>
  </si>
  <si>
    <t>cum report</t>
  </si>
  <si>
    <t>reporte de defectos</t>
  </si>
  <si>
    <t>lot yield</t>
  </si>
  <si>
    <t>lot track</t>
  </si>
  <si>
    <t>salidas de inv</t>
  </si>
  <si>
    <t>usuarios</t>
  </si>
  <si>
    <t>mtto preventivo</t>
  </si>
  <si>
    <t>equipos</t>
  </si>
  <si>
    <t>bajas</t>
  </si>
  <si>
    <t>capacitacion</t>
  </si>
  <si>
    <t>hide labels JL</t>
  </si>
  <si>
    <t>toners</t>
  </si>
  <si>
    <t>cerrar kits</t>
  </si>
  <si>
    <t>ausentismo</t>
  </si>
  <si>
    <t>reporte</t>
  </si>
  <si>
    <t>compras</t>
  </si>
  <si>
    <t>import hides</t>
  </si>
  <si>
    <t>head count</t>
  </si>
  <si>
    <t>sales report</t>
  </si>
  <si>
    <t>fingerprint</t>
  </si>
  <si>
    <t>customers</t>
  </si>
  <si>
    <t>cotizaciones</t>
  </si>
  <si>
    <t>(NO-SISTEMA)</t>
  </si>
  <si>
    <t>( N/S )</t>
  </si>
  <si>
    <t>[K_GRUPO_TAG]</t>
  </si>
  <si>
    <t>[K_SISTEMA]</t>
  </si>
  <si>
    <t>PG_CI_SISTEMA_TAG</t>
  </si>
  <si>
    <t>GRUPO_TAG</t>
  </si>
  <si>
    <t>calidad</t>
  </si>
  <si>
    <t>final</t>
  </si>
  <si>
    <t>finanzas</t>
  </si>
  <si>
    <t>general</t>
  </si>
  <si>
    <t>ingenieria</t>
  </si>
  <si>
    <t>materiales</t>
  </si>
  <si>
    <t>produccion</t>
  </si>
  <si>
    <t>recursos humanos</t>
  </si>
  <si>
    <t>sistemas</t>
  </si>
  <si>
    <t>SISTEMA_TAG</t>
  </si>
  <si>
    <t>[D_sistema_tag]</t>
  </si>
  <si>
    <t>[D_sistema_tag_menu]</t>
  </si>
  <si>
    <t>[S_Sistema_tag]</t>
  </si>
  <si>
    <t>[O_Sistema_tag]</t>
  </si>
  <si>
    <t>[C_Sistema_tag]</t>
  </si>
  <si>
    <t>[R_Sistema_tag]</t>
  </si>
  <si>
    <t>[L_Sistema_tag]</t>
  </si>
  <si>
    <t>[L_ARCHIVO_TAG]</t>
  </si>
  <si>
    <t>[K_IMAGEN_ARCHIVO]</t>
  </si>
  <si>
    <t>#0 // (NO-SISTEMA)</t>
  </si>
  <si>
    <t>( NO-SISTEMA )</t>
  </si>
  <si>
    <t>prod_rpt</t>
  </si>
  <si>
    <t>PRODUCTION REPORT</t>
  </si>
  <si>
    <t>#001</t>
  </si>
  <si>
    <t>SupScreen</t>
  </si>
  <si>
    <t>SUPERVISORS</t>
  </si>
  <si>
    <t>#002</t>
  </si>
  <si>
    <t>frmMain2</t>
  </si>
  <si>
    <t>PRODUCTION</t>
  </si>
  <si>
    <t>#003</t>
  </si>
  <si>
    <t>rej</t>
  </si>
  <si>
    <t>REJECTS</t>
  </si>
  <si>
    <t>#004</t>
  </si>
  <si>
    <t>Planning</t>
  </si>
  <si>
    <t>PLANNING SCREEN</t>
  </si>
  <si>
    <t>#005</t>
  </si>
  <si>
    <t>Transferencias</t>
  </si>
  <si>
    <t>TRANSACTIONS</t>
  </si>
  <si>
    <t>#006</t>
  </si>
  <si>
    <t>sc_pieles2</t>
  </si>
  <si>
    <t>HIDES SCANNER</t>
  </si>
  <si>
    <t>#007</t>
  </si>
  <si>
    <t>LABELS</t>
  </si>
  <si>
    <t>#011</t>
  </si>
  <si>
    <t>etiqueta_piel</t>
  </si>
  <si>
    <t>HIDE LABELS</t>
  </si>
  <si>
    <t>#012</t>
  </si>
  <si>
    <t>Packing</t>
  </si>
  <si>
    <t>PACKING SLIP</t>
  </si>
  <si>
    <t>#008</t>
  </si>
  <si>
    <t>FO_TRANSFER_SCREEN</t>
  </si>
  <si>
    <t>TRANSFER MCT TO MFP</t>
  </si>
  <si>
    <t>#009</t>
  </si>
  <si>
    <t>InventMFP</t>
  </si>
  <si>
    <t>MFP INVENTORY</t>
  </si>
  <si>
    <t>#010</t>
  </si>
  <si>
    <t>PPMS</t>
  </si>
  <si>
    <t>#013</t>
  </si>
  <si>
    <t>readEDI</t>
  </si>
  <si>
    <t>LOAD RELEASE</t>
  </si>
  <si>
    <t>#014</t>
  </si>
  <si>
    <t>diamante</t>
  </si>
  <si>
    <t>EDI WEEKLY RPT</t>
  </si>
  <si>
    <t>#015</t>
  </si>
  <si>
    <t>InvD</t>
  </si>
  <si>
    <t>DAILY INVENTORY</t>
  </si>
  <si>
    <t>#016</t>
  </si>
  <si>
    <t>2D BARCODE</t>
  </si>
  <si>
    <t>HidesAllocation</t>
  </si>
  <si>
    <t>HIDES ALLOCATION</t>
  </si>
  <si>
    <t>#017</t>
  </si>
  <si>
    <t>personal</t>
  </si>
  <si>
    <t>HUMAN RESOURCES</t>
  </si>
  <si>
    <t>#018</t>
  </si>
  <si>
    <t>frmRange</t>
  </si>
  <si>
    <t>STOCK STATUS</t>
  </si>
  <si>
    <t>#019</t>
  </si>
  <si>
    <t>EXCEL_PRODUCTION_REPORT</t>
  </si>
  <si>
    <t>EXCEL PRODUCTION REPORT</t>
  </si>
  <si>
    <t>#020</t>
  </si>
  <si>
    <t>\\10.1.1.5\documents\PEARL\Reportes\Excel Production Report.xlsm</t>
  </si>
  <si>
    <t>BELL_CURVE</t>
  </si>
  <si>
    <t>BELL CURVE</t>
  </si>
  <si>
    <t>#021</t>
  </si>
  <si>
    <t>\\10.1.1.5\documents\PEARL\Reportes\Bell_Curve_Report.xls</t>
  </si>
  <si>
    <t>TransactionsReport</t>
  </si>
  <si>
    <t>TRANSACTION REPORT</t>
  </si>
  <si>
    <t>#022</t>
  </si>
  <si>
    <t>CERTIFICATION_REPORT</t>
  </si>
  <si>
    <t>CERTIFICATION REPORT</t>
  </si>
  <si>
    <t>#023</t>
  </si>
  <si>
    <t>FoliosInv</t>
  </si>
  <si>
    <t>FOLIOS INVENTORY</t>
  </si>
  <si>
    <t>#024</t>
  </si>
  <si>
    <t>QUALITY_REJECTS</t>
  </si>
  <si>
    <t>QUALITY REJECTS</t>
  </si>
  <si>
    <t>#025</t>
  </si>
  <si>
    <t>PackingSlipMexico</t>
  </si>
  <si>
    <t>PACKING MACOLA</t>
  </si>
  <si>
    <t>#026</t>
  </si>
  <si>
    <t>Tags</t>
  </si>
  <si>
    <t>TAGS</t>
  </si>
  <si>
    <t>#027</t>
  </si>
  <si>
    <t>SalesByCust</t>
  </si>
  <si>
    <t>SALES BY CUST</t>
  </si>
  <si>
    <t>#028</t>
  </si>
  <si>
    <t>PolizaNomina</t>
  </si>
  <si>
    <t>POLIZA DE NOMINA</t>
  </si>
  <si>
    <t>#029</t>
  </si>
  <si>
    <t>HistoryByPackL</t>
  </si>
  <si>
    <t>HISTORY BY JOB NO</t>
  </si>
  <si>
    <t>#030</t>
  </si>
  <si>
    <t>PatternsDatabase</t>
  </si>
  <si>
    <t>PATTERN LABELS</t>
  </si>
  <si>
    <t>#031</t>
  </si>
  <si>
    <t xml:space="preserve">Leather planning              </t>
  </si>
  <si>
    <t>Cum_Report</t>
  </si>
  <si>
    <t>CUMULATIVE REPORT</t>
  </si>
  <si>
    <t>#032</t>
  </si>
  <si>
    <t>INCOMING_INSPECTION</t>
  </si>
  <si>
    <t>INCOMING INSPECTION</t>
  </si>
  <si>
    <t>#033</t>
  </si>
  <si>
    <t>STATUS_DE_ORDENES</t>
  </si>
  <si>
    <t>STATUS DE ORDENES</t>
  </si>
  <si>
    <t>#034</t>
  </si>
  <si>
    <t>UpdateTarget</t>
  </si>
  <si>
    <t>UPDATE TARGETS</t>
  </si>
  <si>
    <t>#036</t>
  </si>
  <si>
    <t>colors</t>
  </si>
  <si>
    <t>COLORS MANT</t>
  </si>
  <si>
    <t>#035</t>
  </si>
  <si>
    <t>LOT_COMP</t>
  </si>
  <si>
    <t>LOT COMP</t>
  </si>
  <si>
    <t>#037</t>
  </si>
  <si>
    <t>INV IT</t>
  </si>
  <si>
    <t>Eng_main</t>
  </si>
  <si>
    <t>ENGINEERING SCREEN</t>
  </si>
  <si>
    <t>#038</t>
  </si>
  <si>
    <t>ProdCat</t>
  </si>
  <si>
    <t>PROD CATEGORY</t>
  </si>
  <si>
    <t>#039</t>
  </si>
  <si>
    <t>ItemMaster</t>
  </si>
  <si>
    <t>ITEM MASTER</t>
  </si>
  <si>
    <t>#040</t>
  </si>
  <si>
    <t>KitMaster</t>
  </si>
  <si>
    <t>KIT MASTER</t>
  </si>
  <si>
    <t>#041</t>
  </si>
  <si>
    <t>ADLocations</t>
  </si>
  <si>
    <t>ADD LOCATIONS</t>
  </si>
  <si>
    <t>#042</t>
  </si>
  <si>
    <t>Facturacion</t>
  </si>
  <si>
    <t>BILLING</t>
  </si>
  <si>
    <t>#043</t>
  </si>
  <si>
    <t>FoliosV2</t>
  </si>
  <si>
    <t>TRANS_FOLIOS</t>
  </si>
  <si>
    <t>#044</t>
  </si>
  <si>
    <t>PrintInvoice</t>
  </si>
  <si>
    <t>RE-PRINT INVOICE</t>
  </si>
  <si>
    <t>#045</t>
  </si>
  <si>
    <t>Fina_Cum_Report</t>
  </si>
  <si>
    <t>CUM REPORT</t>
  </si>
  <si>
    <t>#046</t>
  </si>
  <si>
    <t>SalidasInventa</t>
  </si>
  <si>
    <t>SALIDAS DE INV</t>
  </si>
  <si>
    <t>#050</t>
  </si>
  <si>
    <t>frmprddefrpt</t>
  </si>
  <si>
    <t>REPORTE DE DEFECTOS</t>
  </si>
  <si>
    <t>#047</t>
  </si>
  <si>
    <t>LotsYield</t>
  </si>
  <si>
    <t>LOT YIELD</t>
  </si>
  <si>
    <t>#048</t>
  </si>
  <si>
    <t>LotTrack</t>
  </si>
  <si>
    <t>LOT TRACK</t>
  </si>
  <si>
    <t>#049</t>
  </si>
  <si>
    <t>FO_USUARIOS</t>
  </si>
  <si>
    <t>USUARIOS</t>
  </si>
  <si>
    <t>#051</t>
  </si>
  <si>
    <t>frmmnto</t>
  </si>
  <si>
    <t>MTTO PREVENTIVO</t>
  </si>
  <si>
    <t>#052</t>
  </si>
  <si>
    <t>frmequipo</t>
  </si>
  <si>
    <t>EQUIPOS</t>
  </si>
  <si>
    <t>#053</t>
  </si>
  <si>
    <t>frmbajas</t>
  </si>
  <si>
    <t>BAJAS</t>
  </si>
  <si>
    <t>#054</t>
  </si>
  <si>
    <t>FO_PUESTO</t>
  </si>
  <si>
    <t>CAPACITACIÓN</t>
  </si>
  <si>
    <t>#055</t>
  </si>
  <si>
    <t>frmtoner</t>
  </si>
  <si>
    <t>TONERS</t>
  </si>
  <si>
    <t>#057</t>
  </si>
  <si>
    <t>frmKits</t>
  </si>
  <si>
    <t>CERRAR KITS</t>
  </si>
  <si>
    <t>#058</t>
  </si>
  <si>
    <t>frmreporte</t>
  </si>
  <si>
    <t>REPORTE</t>
  </si>
  <si>
    <t>#060</t>
  </si>
  <si>
    <t>Frm_Ausentismo</t>
  </si>
  <si>
    <t>AUSENTISMO</t>
  </si>
  <si>
    <t>#059</t>
  </si>
  <si>
    <t>etiqueta_piel_new</t>
  </si>
  <si>
    <t>HIDE LABELS JL</t>
  </si>
  <si>
    <t>#056</t>
  </si>
  <si>
    <t>FO_MENU</t>
  </si>
  <si>
    <t>COMPRAS</t>
  </si>
  <si>
    <t>#061</t>
  </si>
  <si>
    <t>HorseDetail</t>
  </si>
  <si>
    <t>IMPORT HIDES</t>
  </si>
  <si>
    <t>#062</t>
  </si>
  <si>
    <t>HeadCountRpt</t>
  </si>
  <si>
    <t>HEAD COUNT</t>
  </si>
  <si>
    <t>#063</t>
  </si>
  <si>
    <t>SalesReports</t>
  </si>
  <si>
    <t>SALES REPORTS</t>
  </si>
  <si>
    <t>#064</t>
  </si>
  <si>
    <t>Enroll</t>
  </si>
  <si>
    <t>FINGERPRINT</t>
  </si>
  <si>
    <t>#065</t>
  </si>
  <si>
    <t>Customers</t>
  </si>
  <si>
    <t>CUSTOMERS</t>
  </si>
  <si>
    <t>#066</t>
  </si>
  <si>
    <t>FO_ENG_QUOTE</t>
  </si>
  <si>
    <t>COTIZACIONES</t>
  </si>
  <si>
    <t>#067</t>
  </si>
  <si>
    <t>FO_SISTEMAS</t>
  </si>
  <si>
    <t>ALTA DE FORMAS</t>
  </si>
  <si>
    <t>#068</t>
  </si>
  <si>
    <t>opt_cd</t>
  </si>
  <si>
    <t>descripcion</t>
  </si>
  <si>
    <t>grupo</t>
  </si>
  <si>
    <t>d_grupo_tag</t>
  </si>
  <si>
    <t>K_SISTEMA_TAG</t>
  </si>
  <si>
    <t>D_SISTEMA_TAG</t>
  </si>
  <si>
    <t>D_SISTEMA_TAG_MENU</t>
  </si>
  <si>
    <t>S_SISTEMA_TAG</t>
  </si>
  <si>
    <t>O_SISTEMA_TAG</t>
  </si>
  <si>
    <t>C_SISTEMA_TAG</t>
  </si>
  <si>
    <t>R_SISTEMA_TAG</t>
  </si>
  <si>
    <t>L_SISTEMA_TAG</t>
  </si>
  <si>
    <t>k_grupo_tag</t>
  </si>
  <si>
    <t>L_ARCHIVO_TAG</t>
  </si>
  <si>
    <t>K_IMAGEN_SISTEMA_TAG</t>
  </si>
  <si>
    <t xml:space="preserve">Production report             </t>
  </si>
  <si>
    <t xml:space="preserve">Produccion                    </t>
  </si>
  <si>
    <t>PRODUCCION</t>
  </si>
  <si>
    <t xml:space="preserve">Supervisors                   </t>
  </si>
  <si>
    <t xml:space="preserve">Production                    </t>
  </si>
  <si>
    <t xml:space="preserve">Rejects                       </t>
  </si>
  <si>
    <t xml:space="preserve">Planning screen               </t>
  </si>
  <si>
    <t xml:space="preserve">Materiales                    </t>
  </si>
  <si>
    <t>MATERIALES</t>
  </si>
  <si>
    <t xml:space="preserve">Transactions                  </t>
  </si>
  <si>
    <t xml:space="preserve">Hides scanner                 </t>
  </si>
  <si>
    <t xml:space="preserve">Labels                        </t>
  </si>
  <si>
    <t>FINAL</t>
  </si>
  <si>
    <t xml:space="preserve">Hide labels                   </t>
  </si>
  <si>
    <t xml:space="preserve">Packing slip                  </t>
  </si>
  <si>
    <t xml:space="preserve">Final                         </t>
  </si>
  <si>
    <t xml:space="preserve">Transfer MCT to MFP           </t>
  </si>
  <si>
    <t xml:space="preserve">MFP inventory                 </t>
  </si>
  <si>
    <t xml:space="preserve">PPMS                          </t>
  </si>
  <si>
    <t xml:space="preserve">Calidad                       </t>
  </si>
  <si>
    <t>CALIDAD</t>
  </si>
  <si>
    <t xml:space="preserve">Load release                  </t>
  </si>
  <si>
    <t xml:space="preserve">EDI weekly rpt                </t>
  </si>
  <si>
    <t xml:space="preserve">Daily inventory               </t>
  </si>
  <si>
    <t xml:space="preserve">2D Bar code                   </t>
  </si>
  <si>
    <t xml:space="preserve">NY                            </t>
  </si>
  <si>
    <t xml:space="preserve">Hides allocation              </t>
  </si>
  <si>
    <t xml:space="preserve">General                       </t>
  </si>
  <si>
    <t>GENERAL</t>
  </si>
  <si>
    <t xml:space="preserve">Human resources               </t>
  </si>
  <si>
    <t xml:space="preserve">Recursos Humanos              </t>
  </si>
  <si>
    <t>RECURSOS_HUMANOS</t>
  </si>
  <si>
    <t xml:space="preserve">Stock status                  </t>
  </si>
  <si>
    <t xml:space="preserve">Excel production report       </t>
  </si>
  <si>
    <t xml:space="preserve">Bell curve                    </t>
  </si>
  <si>
    <t xml:space="preserve">Transaction report            </t>
  </si>
  <si>
    <t xml:space="preserve">Certification report          </t>
  </si>
  <si>
    <t xml:space="preserve">Folios inventory              </t>
  </si>
  <si>
    <t xml:space="preserve">Quality rejects               </t>
  </si>
  <si>
    <t xml:space="preserve">Packing macola                </t>
  </si>
  <si>
    <t xml:space="preserve">Tags                          </t>
  </si>
  <si>
    <t xml:space="preserve">Finanzas                      </t>
  </si>
  <si>
    <t>FINANZAS</t>
  </si>
  <si>
    <t xml:space="preserve">Sales By Cust                 </t>
  </si>
  <si>
    <t xml:space="preserve">Poliza de nomina              </t>
  </si>
  <si>
    <t xml:space="preserve">History By Job No             </t>
  </si>
  <si>
    <t xml:space="preserve">Pattern Labels                </t>
  </si>
  <si>
    <t xml:space="preserve">Sistemas                      </t>
  </si>
  <si>
    <t>SISTEMAS</t>
  </si>
  <si>
    <t xml:space="preserve">Cumulative Report             </t>
  </si>
  <si>
    <t xml:space="preserve">Incoming Inspection           </t>
  </si>
  <si>
    <t xml:space="preserve">Status de Ordenes             </t>
  </si>
  <si>
    <t xml:space="preserve">Update Targets                </t>
  </si>
  <si>
    <t>INGENIERIA</t>
  </si>
  <si>
    <t xml:space="preserve">Colors Mant                   </t>
  </si>
  <si>
    <t xml:space="preserve">Lot Comp                      </t>
  </si>
  <si>
    <t xml:space="preserve">Inv IT                        </t>
  </si>
  <si>
    <t xml:space="preserve">Engineering Screen            </t>
  </si>
  <si>
    <t xml:space="preserve">Prod Category                 </t>
  </si>
  <si>
    <t xml:space="preserve">Item Master                   </t>
  </si>
  <si>
    <t xml:space="preserve">Kit Master                    </t>
  </si>
  <si>
    <t xml:space="preserve">Add Locations                 </t>
  </si>
  <si>
    <t xml:space="preserve">Billing                       </t>
  </si>
  <si>
    <t xml:space="preserve">Trans_Folios                  </t>
  </si>
  <si>
    <t xml:space="preserve">Re-print Invoice              </t>
  </si>
  <si>
    <t xml:space="preserve">Cum Report                    </t>
  </si>
  <si>
    <t xml:space="preserve">Salidas de Inv                </t>
  </si>
  <si>
    <t xml:space="preserve">Reporte de Defectos           </t>
  </si>
  <si>
    <t xml:space="preserve">Lot Yield                     </t>
  </si>
  <si>
    <t xml:space="preserve">Lot Track                     </t>
  </si>
  <si>
    <t xml:space="preserve">Usuarios                      </t>
  </si>
  <si>
    <t xml:space="preserve">Mtto Preventivo               </t>
  </si>
  <si>
    <t xml:space="preserve">Equipos                       </t>
  </si>
  <si>
    <t xml:space="preserve">Bajas                         </t>
  </si>
  <si>
    <t xml:space="preserve">Capacitación                  </t>
  </si>
  <si>
    <t xml:space="preserve">Toners                        </t>
  </si>
  <si>
    <t xml:space="preserve">Cerrar Kits                   </t>
  </si>
  <si>
    <t>XXX</t>
  </si>
  <si>
    <t xml:space="preserve">Tickets                       </t>
  </si>
  <si>
    <t xml:space="preserve">Reporte                       </t>
  </si>
  <si>
    <t xml:space="preserve">Ausentismo                    </t>
  </si>
  <si>
    <t xml:space="preserve">Hide labels JL                </t>
  </si>
  <si>
    <t xml:space="preserve">Compras                       </t>
  </si>
  <si>
    <t xml:space="preserve">Import Hides                  </t>
  </si>
  <si>
    <t xml:space="preserve">Head Count                    </t>
  </si>
  <si>
    <t xml:space="preserve">Sales Reports                 </t>
  </si>
  <si>
    <t xml:space="preserve">Fingerprint                   </t>
  </si>
  <si>
    <t xml:space="preserve">Customers                     </t>
  </si>
  <si>
    <t xml:space="preserve">Cotizaciones                  </t>
  </si>
  <si>
    <t>#069</t>
  </si>
  <si>
    <t>#070</t>
  </si>
  <si>
    <t>#071</t>
  </si>
  <si>
    <t>codigo</t>
  </si>
  <si>
    <t>nombre</t>
  </si>
  <si>
    <t>apellido</t>
  </si>
  <si>
    <t>usuario</t>
  </si>
  <si>
    <t>contrasena</t>
  </si>
  <si>
    <t>correo</t>
  </si>
  <si>
    <t>tipo</t>
  </si>
  <si>
    <t>tema</t>
  </si>
  <si>
    <t>K_USUARIO_PEARL</t>
  </si>
  <si>
    <t>D_USUARIO_PEARL</t>
  </si>
  <si>
    <t>NOMBRE</t>
  </si>
  <si>
    <t>APELLIDO_PATERNO</t>
  </si>
  <si>
    <t>APELLIDO_MATERNO</t>
  </si>
  <si>
    <t>CORREO_USUARIO_PEARL</t>
  </si>
  <si>
    <t>PASSWORD_USUARIO_PEARL</t>
  </si>
  <si>
    <t>TEMA_USUARIO_PEARL</t>
  </si>
  <si>
    <t>K_USUARIO_DEPARTAMENTO</t>
  </si>
  <si>
    <t>K_USUARIO_TIPO</t>
  </si>
  <si>
    <t>K_EMPLEADO_PEARL</t>
  </si>
  <si>
    <t>K_USUARIO_ALTA</t>
  </si>
  <si>
    <t>F_ALTA</t>
  </si>
  <si>
    <t>K_USUARIO_CAMBIO</t>
  </si>
  <si>
    <t>F_CAMBIO</t>
  </si>
  <si>
    <t>L_BORRADO</t>
  </si>
  <si>
    <t>K_USUARIO_BAJA</t>
  </si>
  <si>
    <t>F_BAJA</t>
  </si>
  <si>
    <t xml:space="preserve">Rafael              </t>
  </si>
  <si>
    <t xml:space="preserve">Fierro              </t>
  </si>
  <si>
    <t xml:space="preserve">rafaelf             </t>
  </si>
  <si>
    <t xml:space="preserve">killer         </t>
  </si>
  <si>
    <t xml:space="preserve">rafaelf@pearlleather.com.mx   </t>
  </si>
  <si>
    <t>A1</t>
  </si>
  <si>
    <t xml:space="preserve">Red Planet.isl                </t>
  </si>
  <si>
    <t>RAFAELF</t>
  </si>
  <si>
    <t>RAFAEL</t>
  </si>
  <si>
    <t>FIERRO</t>
  </si>
  <si>
    <t>MASCORRO</t>
  </si>
  <si>
    <t>RAFAELF@PEARLLEATHER.COM.MX</t>
  </si>
  <si>
    <t>killer</t>
  </si>
  <si>
    <t>RED PLANET.ISL</t>
  </si>
  <si>
    <t>NULL</t>
  </si>
  <si>
    <t xml:space="preserve">Omar                </t>
  </si>
  <si>
    <t xml:space="preserve">Decena              </t>
  </si>
  <si>
    <t xml:space="preserve">omard               </t>
  </si>
  <si>
    <t xml:space="preserve">omard@pearlleather.com.mx     </t>
  </si>
  <si>
    <t>Q1</t>
  </si>
  <si>
    <t>OMARD</t>
  </si>
  <si>
    <t>OMAR ALBERTO</t>
  </si>
  <si>
    <t>DECENA</t>
  </si>
  <si>
    <t>MARTINEZ</t>
  </si>
  <si>
    <t>OMARD@PEARLLEATHER.COM.MX</t>
  </si>
  <si>
    <t xml:space="preserve">Jorge               </t>
  </si>
  <si>
    <t xml:space="preserve">Holguin             </t>
  </si>
  <si>
    <t xml:space="preserve">jorgeh              </t>
  </si>
  <si>
    <t xml:space="preserve">jorgeh         </t>
  </si>
  <si>
    <t xml:space="preserve">jorgeh@pearlleather.com.mx    </t>
  </si>
  <si>
    <t>U2</t>
  </si>
  <si>
    <t xml:space="preserve">Flat Nature.isl               </t>
  </si>
  <si>
    <t>JORGEH</t>
  </si>
  <si>
    <t>JORGE FELIPE</t>
  </si>
  <si>
    <t>HOLGUIN</t>
  </si>
  <si>
    <t>NAVA</t>
  </si>
  <si>
    <t>JORGEH@PEARLLEATHER.COM.MX</t>
  </si>
  <si>
    <t>jorgeh</t>
  </si>
  <si>
    <t>FLAT NATURE.ISL</t>
  </si>
  <si>
    <t xml:space="preserve">Guillermo           </t>
  </si>
  <si>
    <t xml:space="preserve">Mata                </t>
  </si>
  <si>
    <t xml:space="preserve">guillermom          </t>
  </si>
  <si>
    <t xml:space="preserve">nicole         </t>
  </si>
  <si>
    <t>guillermom@pearlleather.com.mx</t>
  </si>
  <si>
    <t>U1</t>
  </si>
  <si>
    <t>GUILLERMOM</t>
  </si>
  <si>
    <t>GUILLERMO ALFONSO</t>
  </si>
  <si>
    <t>MATA</t>
  </si>
  <si>
    <t>RODRIGUEZ</t>
  </si>
  <si>
    <t>GUILLERMOM@PEARLLEATHER.COM.MX</t>
  </si>
  <si>
    <t>nicole</t>
  </si>
  <si>
    <t xml:space="preserve">Pedro               </t>
  </si>
  <si>
    <t xml:space="preserve">Vargas              </t>
  </si>
  <si>
    <t xml:space="preserve">pedrov              </t>
  </si>
  <si>
    <t xml:space="preserve">Saver10*       </t>
  </si>
  <si>
    <t xml:space="preserve">pedrov@pearlleather.com.mx    </t>
  </si>
  <si>
    <t>PEDROV</t>
  </si>
  <si>
    <t>PEDRO</t>
  </si>
  <si>
    <t>VARGAS</t>
  </si>
  <si>
    <t>FRAGOSO</t>
  </si>
  <si>
    <t>PEDROV@PEARLLEATHER.COM.MX</t>
  </si>
  <si>
    <t>Saver10*</t>
  </si>
  <si>
    <t xml:space="preserve">Miguel              </t>
  </si>
  <si>
    <t xml:space="preserve">Carrasco            </t>
  </si>
  <si>
    <t xml:space="preserve">miguelc             </t>
  </si>
  <si>
    <t xml:space="preserve">Dalica9905     </t>
  </si>
  <si>
    <t xml:space="preserve">miguelc@pearlleather.com.mx   </t>
  </si>
  <si>
    <t>MIGUELC</t>
  </si>
  <si>
    <t>JESUS MIGUEL</t>
  </si>
  <si>
    <t>CARRASCO</t>
  </si>
  <si>
    <t>ORTIZ</t>
  </si>
  <si>
    <t>MIGUELC@PEARLLEATHER.COM.MX</t>
  </si>
  <si>
    <t>Dalica9905</t>
  </si>
  <si>
    <t xml:space="preserve">Ivan                </t>
  </si>
  <si>
    <t xml:space="preserve">ivand               </t>
  </si>
  <si>
    <t xml:space="preserve">ivand@pearlleather.com.mx     </t>
  </si>
  <si>
    <t xml:space="preserve">U </t>
  </si>
  <si>
    <t xml:space="preserve">IG Style.isl                  </t>
  </si>
  <si>
    <t>IVAND</t>
  </si>
  <si>
    <t>IVAN ANDRES</t>
  </si>
  <si>
    <t>IVAND@PEARLLEATHER.COM.MX</t>
  </si>
  <si>
    <t>IG STYLE.ISL</t>
  </si>
  <si>
    <t xml:space="preserve">Oscar               </t>
  </si>
  <si>
    <t xml:space="preserve">Torres              </t>
  </si>
  <si>
    <t xml:space="preserve">oscart              </t>
  </si>
  <si>
    <t xml:space="preserve">oscart@pearlleather.com.mx    </t>
  </si>
  <si>
    <t xml:space="preserve">Natilus.isl                   </t>
  </si>
  <si>
    <t>OSCART</t>
  </si>
  <si>
    <t>OSCAR OMAR</t>
  </si>
  <si>
    <t>TORRES</t>
  </si>
  <si>
    <t>BUGARIN</t>
  </si>
  <si>
    <t>OSCART@PEARLLEATHER.COM.MX</t>
  </si>
  <si>
    <t>NATILUS.ISL</t>
  </si>
  <si>
    <t xml:space="preserve">Recibo1             </t>
  </si>
  <si>
    <t xml:space="preserve">                    </t>
  </si>
  <si>
    <t xml:space="preserve">recibo1             </t>
  </si>
  <si>
    <t xml:space="preserve">pedroa@pearlleather.com.mx    </t>
  </si>
  <si>
    <t>RECIBO1</t>
  </si>
  <si>
    <t>PEDROA@PEARLLEATHER.COM.MX</t>
  </si>
  <si>
    <t xml:space="preserve">Recibo2             </t>
  </si>
  <si>
    <t xml:space="preserve">recibo2             </t>
  </si>
  <si>
    <t xml:space="preserve">The Blues.isl                 </t>
  </si>
  <si>
    <t>RECIBO2</t>
  </si>
  <si>
    <t>THE BLUES.ISL</t>
  </si>
  <si>
    <t xml:space="preserve">Gilberto            </t>
  </si>
  <si>
    <t xml:space="preserve">Vazquez             </t>
  </si>
  <si>
    <t xml:space="preserve">gilbertov           </t>
  </si>
  <si>
    <t xml:space="preserve">Alexander1     </t>
  </si>
  <si>
    <t xml:space="preserve">gilbertov@pearlleather.com.mx </t>
  </si>
  <si>
    <t>GILBERTOV</t>
  </si>
  <si>
    <t>GILBERTO</t>
  </si>
  <si>
    <t>VAZQUEZ</t>
  </si>
  <si>
    <t>RAMIREZ</t>
  </si>
  <si>
    <t>GILBERTOV@PEARLLEATHER.COM.MX</t>
  </si>
  <si>
    <t>Alexander1</t>
  </si>
  <si>
    <t xml:space="preserve">Manuel              </t>
  </si>
  <si>
    <t xml:space="preserve">Garcia              </t>
  </si>
  <si>
    <t xml:space="preserve">manuelg             </t>
  </si>
  <si>
    <t xml:space="preserve">Mangar83       </t>
  </si>
  <si>
    <t xml:space="preserve">manuelg@pearlleather.com.mx   </t>
  </si>
  <si>
    <t>MANUELG</t>
  </si>
  <si>
    <t>MANUEL MAURILIO</t>
  </si>
  <si>
    <t>GARCIA</t>
  </si>
  <si>
    <t>MANUELG@PEARLLEATHER.COM.MX</t>
  </si>
  <si>
    <t>Mangar83</t>
  </si>
  <si>
    <t xml:space="preserve">Fabiola             </t>
  </si>
  <si>
    <t xml:space="preserve">Gerardo             </t>
  </si>
  <si>
    <t xml:space="preserve">fabiolag            </t>
  </si>
  <si>
    <t xml:space="preserve">fabiola        </t>
  </si>
  <si>
    <t xml:space="preserve">fabiolag@pearlleather.com.mx  </t>
  </si>
  <si>
    <t>FABIOLAG</t>
  </si>
  <si>
    <t>ALEXIS FABIOLA</t>
  </si>
  <si>
    <t>GERARDO</t>
  </si>
  <si>
    <t>AREVALO</t>
  </si>
  <si>
    <t>FABIOLAG@PEARLLEATHER.COM.MX</t>
  </si>
  <si>
    <t>fabiola</t>
  </si>
  <si>
    <t xml:space="preserve">Diana               </t>
  </si>
  <si>
    <t xml:space="preserve">Salas               </t>
  </si>
  <si>
    <t xml:space="preserve">dianas              </t>
  </si>
  <si>
    <t xml:space="preserve">@pearlleather.com.mx          </t>
  </si>
  <si>
    <t>DIANAS</t>
  </si>
  <si>
    <t>DIANA JANNET</t>
  </si>
  <si>
    <t>SALAS</t>
  </si>
  <si>
    <t>TOVAR</t>
  </si>
  <si>
    <t xml:space="preserve">Alejandro           </t>
  </si>
  <si>
    <t xml:space="preserve">Perez               </t>
  </si>
  <si>
    <t xml:space="preserve">alejandrop          </t>
  </si>
  <si>
    <t xml:space="preserve">alex           </t>
  </si>
  <si>
    <t>embarques1@pearlleather.com.mx</t>
  </si>
  <si>
    <t>ALEJANDROP</t>
  </si>
  <si>
    <t>ALEJANDRO</t>
  </si>
  <si>
    <t>PEREZ</t>
  </si>
  <si>
    <t>REYES</t>
  </si>
  <si>
    <t>EMBARQUES1@PEARLLEATHER.COM.MX</t>
  </si>
  <si>
    <t>alex</t>
  </si>
  <si>
    <t xml:space="preserve">Adriana             </t>
  </si>
  <si>
    <t xml:space="preserve">De la Ree           </t>
  </si>
  <si>
    <t xml:space="preserve">adrianad            </t>
  </si>
  <si>
    <t xml:space="preserve">adriana        </t>
  </si>
  <si>
    <t xml:space="preserve">adrianad@pearlleather.com.mx  </t>
  </si>
  <si>
    <t>ADRIANAD</t>
  </si>
  <si>
    <t>ADRIANA</t>
  </si>
  <si>
    <t>DE LA REE</t>
  </si>
  <si>
    <t>DOMINGUEZ</t>
  </si>
  <si>
    <t>ADRIANAD@PEARLLEATHER.COM.MX</t>
  </si>
  <si>
    <t>adriana</t>
  </si>
  <si>
    <t xml:space="preserve">Patricia            </t>
  </si>
  <si>
    <t xml:space="preserve">Chavez              </t>
  </si>
  <si>
    <t xml:space="preserve">patriciac           </t>
  </si>
  <si>
    <t xml:space="preserve">mebi1625       </t>
  </si>
  <si>
    <t xml:space="preserve">patriciac@pearlleather.com.mx </t>
  </si>
  <si>
    <t>PATRICIAC</t>
  </si>
  <si>
    <t>MARTHA PATRICIA</t>
  </si>
  <si>
    <t>CHAVEZ</t>
  </si>
  <si>
    <t>PATRICIAC@PEARLLEATHER.COM.MX</t>
  </si>
  <si>
    <t>mebi1625</t>
  </si>
  <si>
    <t xml:space="preserve">Luis                </t>
  </si>
  <si>
    <t xml:space="preserve">luisp               </t>
  </si>
  <si>
    <t xml:space="preserve">luis           </t>
  </si>
  <si>
    <t xml:space="preserve">luisp@pearlleather.com.mx     </t>
  </si>
  <si>
    <t>LUISP</t>
  </si>
  <si>
    <t>LUISP@PEARLLEATHER.COM.MX</t>
  </si>
  <si>
    <t>luis</t>
  </si>
  <si>
    <t xml:space="preserve">Leonor              </t>
  </si>
  <si>
    <t xml:space="preserve">Hernandez           </t>
  </si>
  <si>
    <t xml:space="preserve">leonorh             </t>
  </si>
  <si>
    <t xml:space="preserve">leonorh@pearlleather.com.mx   </t>
  </si>
  <si>
    <t>P1</t>
  </si>
  <si>
    <t>LEONORH</t>
  </si>
  <si>
    <t>LEONOR ADRIANA</t>
  </si>
  <si>
    <t>HERNANDEZ</t>
  </si>
  <si>
    <t>LEONORH@PEARLLEATHER.COM.MX</t>
  </si>
  <si>
    <t xml:space="preserve">Karen               </t>
  </si>
  <si>
    <t xml:space="preserve">Espinoza            </t>
  </si>
  <si>
    <t xml:space="preserve">karene              </t>
  </si>
  <si>
    <t xml:space="preserve">recibo@pearlleather.com.mx    </t>
  </si>
  <si>
    <t>KARENE</t>
  </si>
  <si>
    <t>KAREN SELENE</t>
  </si>
  <si>
    <t>ESPINOZA</t>
  </si>
  <si>
    <t>RANGEL</t>
  </si>
  <si>
    <t>RECIBO@PEARLLEATHER.COM.MX</t>
  </si>
  <si>
    <t xml:space="preserve">Gaspar              </t>
  </si>
  <si>
    <t xml:space="preserve">Hinojos             </t>
  </si>
  <si>
    <t xml:space="preserve">gasparh             </t>
  </si>
  <si>
    <t xml:space="preserve">gasparh@pearlleather.com.mx   </t>
  </si>
  <si>
    <t>GASPARH</t>
  </si>
  <si>
    <t>GASPAR</t>
  </si>
  <si>
    <t>HINOJOS</t>
  </si>
  <si>
    <t>GASPARH@PEARLLEATHER.COM.MX</t>
  </si>
  <si>
    <t xml:space="preserve">Armida              </t>
  </si>
  <si>
    <t xml:space="preserve">armidah             </t>
  </si>
  <si>
    <t xml:space="preserve">armidah@pearlleather.com.mx   </t>
  </si>
  <si>
    <t>ARMIDAH</t>
  </si>
  <si>
    <t>ARMIDA</t>
  </si>
  <si>
    <t>RIVERA</t>
  </si>
  <si>
    <t>ARMIDAH@PEARLLEATHER.COM.MX</t>
  </si>
  <si>
    <t xml:space="preserve">Mary                </t>
  </si>
  <si>
    <t xml:space="preserve">Sosa                </t>
  </si>
  <si>
    <t xml:space="preserve">marias              </t>
  </si>
  <si>
    <t xml:space="preserve">marias@pearlleather.com.mx    </t>
  </si>
  <si>
    <t>MARIAS</t>
  </si>
  <si>
    <t>MARIA DE LA LUZ</t>
  </si>
  <si>
    <t>SOSA</t>
  </si>
  <si>
    <t>SEDANO</t>
  </si>
  <si>
    <t>MARIAS@PEARLLEATHER.COM.MX</t>
  </si>
  <si>
    <t xml:space="preserve">Fernando            </t>
  </si>
  <si>
    <t xml:space="preserve">fernandog           </t>
  </si>
  <si>
    <t xml:space="preserve">ferny          </t>
  </si>
  <si>
    <t xml:space="preserve">fernandog@pearlleather.com.mx </t>
  </si>
  <si>
    <t>FERNANDOG</t>
  </si>
  <si>
    <t>FERNANDO</t>
  </si>
  <si>
    <t>ANTE</t>
  </si>
  <si>
    <t>FERNANDOG@PEARLLEATHER.COM.MX</t>
  </si>
  <si>
    <t>ferny</t>
  </si>
  <si>
    <t xml:space="preserve">Navid               </t>
  </si>
  <si>
    <t xml:space="preserve">Rachman             </t>
  </si>
  <si>
    <t xml:space="preserve">navidr              </t>
  </si>
  <si>
    <t xml:space="preserve">kgi01!         </t>
  </si>
  <si>
    <t xml:space="preserve">navid@rachmantech.com         </t>
  </si>
  <si>
    <t>NAVIDR</t>
  </si>
  <si>
    <t>NAVID</t>
  </si>
  <si>
    <t>RACHMAN</t>
  </si>
  <si>
    <t>NAVID@RACHMANTECH.COM</t>
  </si>
  <si>
    <t>kgi01!</t>
  </si>
  <si>
    <t xml:space="preserve">Roxana              </t>
  </si>
  <si>
    <t xml:space="preserve">Lara                </t>
  </si>
  <si>
    <t xml:space="preserve">roxanal             </t>
  </si>
  <si>
    <t>ROXANAL</t>
  </si>
  <si>
    <t>ROXANA EDITH</t>
  </si>
  <si>
    <t>LARA</t>
  </si>
  <si>
    <t>AMADOR</t>
  </si>
  <si>
    <t xml:space="preserve">Yamilex             </t>
  </si>
  <si>
    <t xml:space="preserve">Quezada             </t>
  </si>
  <si>
    <t xml:space="preserve">yamilexq            </t>
  </si>
  <si>
    <t xml:space="preserve">yamilexq@pearlleather.com.mx  </t>
  </si>
  <si>
    <t>YAMILEXQ</t>
  </si>
  <si>
    <t>YAMILEXQ@PEARLLEATHER.COM.MX</t>
  </si>
  <si>
    <t xml:space="preserve">Anaya               </t>
  </si>
  <si>
    <t xml:space="preserve">karena              </t>
  </si>
  <si>
    <t xml:space="preserve">karena@pearlleather.com.mx    </t>
  </si>
  <si>
    <t xml:space="preserve">Noir Moderne.isl              </t>
  </si>
  <si>
    <t>KARENA</t>
  </si>
  <si>
    <t>KAREN MICHELLE</t>
  </si>
  <si>
    <t>APOLONIO</t>
  </si>
  <si>
    <t>SOTO</t>
  </si>
  <si>
    <t>KARENA@PEARLLEATHER.COM.MX</t>
  </si>
  <si>
    <t>NOIR MODERNE.ISL</t>
  </si>
  <si>
    <t xml:space="preserve">Genaro              </t>
  </si>
  <si>
    <t xml:space="preserve">genaroh             </t>
  </si>
  <si>
    <t>GENAROH</t>
  </si>
  <si>
    <t>GENARO</t>
  </si>
  <si>
    <t>SANCHEZ</t>
  </si>
  <si>
    <t xml:space="preserve">Dana                </t>
  </si>
  <si>
    <t xml:space="preserve">Conde               </t>
  </si>
  <si>
    <t xml:space="preserve">danac               </t>
  </si>
  <si>
    <t xml:space="preserve">certi@pearlleather.com.mx     </t>
  </si>
  <si>
    <t>DANAC</t>
  </si>
  <si>
    <t>DANA YARETH</t>
  </si>
  <si>
    <t>CONDE</t>
  </si>
  <si>
    <t>MENDEZ</t>
  </si>
  <si>
    <t>CERTI@PEARLLEATHER.COM.MX</t>
  </si>
  <si>
    <t xml:space="preserve">Mariana             </t>
  </si>
  <si>
    <t xml:space="preserve">Castro              </t>
  </si>
  <si>
    <t xml:space="preserve">marianac            </t>
  </si>
  <si>
    <t>MARIANAC</t>
  </si>
  <si>
    <t xml:space="preserve">Olegario            </t>
  </si>
  <si>
    <t xml:space="preserve">jorgeo              </t>
  </si>
  <si>
    <t xml:space="preserve">calidad.30     </t>
  </si>
  <si>
    <t xml:space="preserve">jolegario@pearlleather.com.mx </t>
  </si>
  <si>
    <t>JORGEO</t>
  </si>
  <si>
    <t>JORGE OLEGARIO</t>
  </si>
  <si>
    <t>MIGUEL</t>
  </si>
  <si>
    <t>LOPEZ</t>
  </si>
  <si>
    <t>JOLEGARIO@PEARLLEATHER.COM.MX</t>
  </si>
  <si>
    <t>calidad.30</t>
  </si>
  <si>
    <t xml:space="preserve">Navarrete           </t>
  </si>
  <si>
    <t xml:space="preserve">dianan              </t>
  </si>
  <si>
    <t xml:space="preserve">Facturas1      </t>
  </si>
  <si>
    <t>DIANAN</t>
  </si>
  <si>
    <t>DIANA CECILIA</t>
  </si>
  <si>
    <t>NAVARRETE</t>
  </si>
  <si>
    <t>DIANAN@PEARLLEATHER.COM.MX</t>
  </si>
  <si>
    <t>Facturas1</t>
  </si>
  <si>
    <t xml:space="preserve">sistemas            </t>
  </si>
  <si>
    <t xml:space="preserve">m@ster++       </t>
  </si>
  <si>
    <t xml:space="preserve">sistemas@pearlleather.com.mx  </t>
  </si>
  <si>
    <t>SISTEMAS@PEARLLEATHER.COM.MX</t>
  </si>
  <si>
    <t>m@ster++</t>
  </si>
  <si>
    <t xml:space="preserve">Viviana             </t>
  </si>
  <si>
    <t xml:space="preserve">vivianac            </t>
  </si>
  <si>
    <t xml:space="preserve">vivianc@pearlleather.com.mx   </t>
  </si>
  <si>
    <t>VIVIANAC</t>
  </si>
  <si>
    <t>VIVIANA ANGELICA</t>
  </si>
  <si>
    <t>ZUNIGA</t>
  </si>
  <si>
    <t>VIVIANC@PEARLLEATHER.COM.MX</t>
  </si>
  <si>
    <t xml:space="preserve">Tania               </t>
  </si>
  <si>
    <t xml:space="preserve">Cruz                </t>
  </si>
  <si>
    <t xml:space="preserve">taniac              </t>
  </si>
  <si>
    <t>TANIAC</t>
  </si>
  <si>
    <t>TANIA ELIZABETH</t>
  </si>
  <si>
    <t>CRUZ</t>
  </si>
  <si>
    <t>BLACK STYLE.ISL</t>
  </si>
  <si>
    <t xml:space="preserve">Jose                </t>
  </si>
  <si>
    <t xml:space="preserve">Sanchez             </t>
  </si>
  <si>
    <t xml:space="preserve">joses               </t>
  </si>
  <si>
    <t xml:space="preserve">jose48320031   </t>
  </si>
  <si>
    <t xml:space="preserve">joses@pearlleather.com.mx     </t>
  </si>
  <si>
    <t>JOSES</t>
  </si>
  <si>
    <t>JOSE LUIS</t>
  </si>
  <si>
    <t>CORDOVA</t>
  </si>
  <si>
    <t>JOSES@PEARLLEATHER.COM.MX</t>
  </si>
  <si>
    <t>jose48320031</t>
  </si>
  <si>
    <t xml:space="preserve">Maria               </t>
  </si>
  <si>
    <t xml:space="preserve">Romo                </t>
  </si>
  <si>
    <t xml:space="preserve">mariar              </t>
  </si>
  <si>
    <t xml:space="preserve">mariar@pearlleather.com.mx    </t>
  </si>
  <si>
    <t>MARIAR</t>
  </si>
  <si>
    <t>MARIAR@PEARLLEATHER.COM.MX</t>
  </si>
  <si>
    <t xml:space="preserve">Francisco           </t>
  </si>
  <si>
    <t xml:space="preserve">Morales             </t>
  </si>
  <si>
    <t xml:space="preserve">franciscom          </t>
  </si>
  <si>
    <t xml:space="preserve">cuarris987     </t>
  </si>
  <si>
    <t>FRANCISCOM</t>
  </si>
  <si>
    <t>FRANCISCO GABRIEL</t>
  </si>
  <si>
    <t>MORALES</t>
  </si>
  <si>
    <t>cuarris987</t>
  </si>
  <si>
    <t xml:space="preserve">Santos              </t>
  </si>
  <si>
    <t xml:space="preserve">Reyes               </t>
  </si>
  <si>
    <t xml:space="preserve">santosr             </t>
  </si>
  <si>
    <t xml:space="preserve">santosr@pearlleather.com.mx   </t>
  </si>
  <si>
    <t>SANTOSR</t>
  </si>
  <si>
    <t>SANTOS JESUS</t>
  </si>
  <si>
    <t>CASTRO</t>
  </si>
  <si>
    <t>SANTOSR@PEARLLEATHER.COM.MX</t>
  </si>
  <si>
    <t xml:space="preserve">Elena               </t>
  </si>
  <si>
    <t xml:space="preserve">Rodriguez           </t>
  </si>
  <si>
    <t xml:space="preserve">elenar              </t>
  </si>
  <si>
    <t xml:space="preserve">elenar@pearlleather.com.mx    </t>
  </si>
  <si>
    <t>I1</t>
  </si>
  <si>
    <t>ELENAR</t>
  </si>
  <si>
    <t>ELENAR@PEARLLEATHER.COM.MX</t>
  </si>
  <si>
    <t xml:space="preserve">Monica              </t>
  </si>
  <si>
    <t xml:space="preserve">Gabino              </t>
  </si>
  <si>
    <t xml:space="preserve">monicag             </t>
  </si>
  <si>
    <t>MONICAG</t>
  </si>
  <si>
    <t>MONICA ESTEFANIA</t>
  </si>
  <si>
    <t>GABINO</t>
  </si>
  <si>
    <t xml:space="preserve">Leyver              </t>
  </si>
  <si>
    <t xml:space="preserve">Roblero             </t>
  </si>
  <si>
    <t xml:space="preserve">leyverr             </t>
  </si>
  <si>
    <t>LEYVERR</t>
  </si>
  <si>
    <t xml:space="preserve">Edgar               </t>
  </si>
  <si>
    <t xml:space="preserve">Armijo              </t>
  </si>
  <si>
    <t xml:space="preserve">edgara              </t>
  </si>
  <si>
    <t>EDGARA</t>
  </si>
  <si>
    <t>EDGAR MANUEL</t>
  </si>
  <si>
    <t>ARMIJO</t>
  </si>
  <si>
    <t>CAMPOS</t>
  </si>
  <si>
    <t xml:space="preserve">Supervisor          </t>
  </si>
  <si>
    <t xml:space="preserve">Produccion          </t>
  </si>
  <si>
    <t xml:space="preserve">supervisor          </t>
  </si>
  <si>
    <t xml:space="preserve">super10        </t>
  </si>
  <si>
    <t xml:space="preserve">xx@pearlleather.com.mx        </t>
  </si>
  <si>
    <t>SUPERVISOR</t>
  </si>
  <si>
    <t>XX@PEARLLEATHER.COM.MX</t>
  </si>
  <si>
    <t>super10</t>
  </si>
  <si>
    <t xml:space="preserve">Victor              </t>
  </si>
  <si>
    <t xml:space="preserve">Chontal             </t>
  </si>
  <si>
    <t xml:space="preserve">victorc             </t>
  </si>
  <si>
    <t xml:space="preserve">Password1      </t>
  </si>
  <si>
    <t xml:space="preserve">victorc@pearlleather.com.mx   </t>
  </si>
  <si>
    <t>VICTORC</t>
  </si>
  <si>
    <t>VICTOR MANUEL</t>
  </si>
  <si>
    <t>CHONTAL</t>
  </si>
  <si>
    <t>GALLEGOS</t>
  </si>
  <si>
    <t>VICTORC@PEARLLEATHER.COM.MX</t>
  </si>
  <si>
    <t>Password1</t>
  </si>
  <si>
    <t xml:space="preserve">Alberto             </t>
  </si>
  <si>
    <t xml:space="preserve">Sifuentes           </t>
  </si>
  <si>
    <t xml:space="preserve">asifuentes          </t>
  </si>
  <si>
    <t xml:space="preserve">albertos@pearlleather.com.mx  </t>
  </si>
  <si>
    <t>ASIFUENTES</t>
  </si>
  <si>
    <t>JOSE ALBERTO</t>
  </si>
  <si>
    <t>SIFUENTES</t>
  </si>
  <si>
    <t>ROJAS</t>
  </si>
  <si>
    <t>ALBERTOS@PEARLLEATHER.COM.MX</t>
  </si>
  <si>
    <t xml:space="preserve">Fray                </t>
  </si>
  <si>
    <t xml:space="preserve">Jimenez             </t>
  </si>
  <si>
    <t xml:space="preserve">frayj               </t>
  </si>
  <si>
    <t xml:space="preserve">frayj@pearlleather.com.mx     </t>
  </si>
  <si>
    <t>FRAYJ</t>
  </si>
  <si>
    <t>FRAYJ@PEARLLEATHER.COM.MX</t>
  </si>
  <si>
    <t xml:space="preserve">Ibarra              </t>
  </si>
  <si>
    <t xml:space="preserve">adrianai            </t>
  </si>
  <si>
    <t xml:space="preserve">adrianai@pearlleather.com.mx  </t>
  </si>
  <si>
    <t>ADRIANAI</t>
  </si>
  <si>
    <t>IBARRA</t>
  </si>
  <si>
    <t>PRIETO</t>
  </si>
  <si>
    <t>ADRIANAI@PEARLLEATHER.COM.MX</t>
  </si>
  <si>
    <t xml:space="preserve">Alma                </t>
  </si>
  <si>
    <t xml:space="preserve">Zuniga              </t>
  </si>
  <si>
    <t xml:space="preserve">almaz               </t>
  </si>
  <si>
    <t xml:space="preserve">Mistic Brown.isl              </t>
  </si>
  <si>
    <t>ALMAZ</t>
  </si>
  <si>
    <t>MISTIC BROWN.ISL</t>
  </si>
  <si>
    <t xml:space="preserve">Ernesto             </t>
  </si>
  <si>
    <t xml:space="preserve">Gaytan              </t>
  </si>
  <si>
    <t xml:space="preserve">ernestog            </t>
  </si>
  <si>
    <t xml:space="preserve">*eder0607      </t>
  </si>
  <si>
    <t xml:space="preserve">ernestog@pearlleather.com.mx  </t>
  </si>
  <si>
    <t xml:space="preserve">black.isl                     </t>
  </si>
  <si>
    <t>ERNESTOG</t>
  </si>
  <si>
    <t>ERNESTOG@PEARLLEATHER.COM.MX</t>
  </si>
  <si>
    <t>*eder0607</t>
  </si>
  <si>
    <t>BLACK.ISL</t>
  </si>
  <si>
    <t xml:space="preserve">Josue               </t>
  </si>
  <si>
    <t xml:space="preserve">josuec              </t>
  </si>
  <si>
    <t xml:space="preserve">josuec@pearlleather.com.mx    </t>
  </si>
  <si>
    <t>JOSUEC</t>
  </si>
  <si>
    <t>JOSUEC@PEARLLEATHER.COM.MX</t>
  </si>
  <si>
    <t xml:space="preserve">Sonia               </t>
  </si>
  <si>
    <t xml:space="preserve">Ortiz               </t>
  </si>
  <si>
    <t xml:space="preserve">soniao              </t>
  </si>
  <si>
    <t xml:space="preserve">soniao@pearlleather.com.mx    </t>
  </si>
  <si>
    <t>SONIAO</t>
  </si>
  <si>
    <t>SONIA YADIRA</t>
  </si>
  <si>
    <t>SONIAO@PEARLLEATHER.COM.MX</t>
  </si>
  <si>
    <t xml:space="preserve">Perla               </t>
  </si>
  <si>
    <t xml:space="preserve">perlah              </t>
  </si>
  <si>
    <t>PERLAH</t>
  </si>
  <si>
    <t>PERLA IVETH</t>
  </si>
  <si>
    <t>CASTILLO</t>
  </si>
  <si>
    <t xml:space="preserve">Alfredo             </t>
  </si>
  <si>
    <t xml:space="preserve">Alanis              </t>
  </si>
  <si>
    <t xml:space="preserve">alfredoa            </t>
  </si>
  <si>
    <t xml:space="preserve">saiddamian     </t>
  </si>
  <si>
    <t>ALFREDOA</t>
  </si>
  <si>
    <t>JOSE ALFREDO</t>
  </si>
  <si>
    <t>ALANIS</t>
  </si>
  <si>
    <t>CONTRERAS</t>
  </si>
  <si>
    <t>saiddamian</t>
  </si>
  <si>
    <t xml:space="preserve">Luz                 </t>
  </si>
  <si>
    <t xml:space="preserve">luzm                </t>
  </si>
  <si>
    <t xml:space="preserve">luzm@pearlleather.com.mx      </t>
  </si>
  <si>
    <t>LUZM</t>
  </si>
  <si>
    <t>LUZ ELENA</t>
  </si>
  <si>
    <t>GONZALEZ</t>
  </si>
  <si>
    <t>LUZM@PEARLLEATHER.COM.MX</t>
  </si>
  <si>
    <t xml:space="preserve">Jesus               </t>
  </si>
  <si>
    <t xml:space="preserve">Rojero              </t>
  </si>
  <si>
    <t xml:space="preserve">jesusr              </t>
  </si>
  <si>
    <t xml:space="preserve">jesusr@pearlleather.com.mx    </t>
  </si>
  <si>
    <t>JESUSR</t>
  </si>
  <si>
    <t>JESUSR@PEARLLEATHER.COM.MX</t>
  </si>
  <si>
    <t xml:space="preserve">Niño                </t>
  </si>
  <si>
    <t xml:space="preserve">jorgen              </t>
  </si>
  <si>
    <t xml:space="preserve">adriann@pearlleather.com.mx   </t>
  </si>
  <si>
    <t>JORGEN</t>
  </si>
  <si>
    <t>JORGE ADRIAN</t>
  </si>
  <si>
    <t>NINO</t>
  </si>
  <si>
    <t>RUIZ</t>
  </si>
  <si>
    <t>ADRIANN@PEARLLEATHER.COM.MX</t>
  </si>
  <si>
    <t xml:space="preserve">Iris                </t>
  </si>
  <si>
    <t xml:space="preserve">Estrada             </t>
  </si>
  <si>
    <t xml:space="preserve">irise               </t>
  </si>
  <si>
    <t xml:space="preserve">irise@pearlleather.com.mx     </t>
  </si>
  <si>
    <t>IRISE</t>
  </si>
  <si>
    <t>IRIS ELIZABETH</t>
  </si>
  <si>
    <t>ESTRADA</t>
  </si>
  <si>
    <t>BAUTISTA</t>
  </si>
  <si>
    <t>IRISE@PEARLLEATHER.COM.MX</t>
  </si>
  <si>
    <t xml:space="preserve">Anahi               </t>
  </si>
  <si>
    <t xml:space="preserve">Gallegos            </t>
  </si>
  <si>
    <t xml:space="preserve">anahig              </t>
  </si>
  <si>
    <t>ANAHIG</t>
  </si>
  <si>
    <t xml:space="preserve">Jaramillo           </t>
  </si>
  <si>
    <t xml:space="preserve">jorgej              </t>
  </si>
  <si>
    <t xml:space="preserve">Mario               </t>
  </si>
  <si>
    <t xml:space="preserve">Saenz               </t>
  </si>
  <si>
    <t xml:space="preserve">marios              </t>
  </si>
  <si>
    <t xml:space="preserve">Valeria02      </t>
  </si>
  <si>
    <t xml:space="preserve">marios@pearlleather.com.mx    </t>
  </si>
  <si>
    <t>MARIOS</t>
  </si>
  <si>
    <t>MARIO ALBERTO</t>
  </si>
  <si>
    <t>SAENZ</t>
  </si>
  <si>
    <t>MONTES</t>
  </si>
  <si>
    <t>MARIOS@PEARLLEATHER.COM.MX</t>
  </si>
  <si>
    <t xml:space="preserve">jesust              </t>
  </si>
  <si>
    <t>JESUST</t>
  </si>
  <si>
    <t>JESUS</t>
  </si>
  <si>
    <t>ORONA</t>
  </si>
  <si>
    <t xml:space="preserve">Teresa              </t>
  </si>
  <si>
    <t xml:space="preserve">teresaj             </t>
  </si>
  <si>
    <t>TERESAJ</t>
  </si>
  <si>
    <t>TERESA DE JESUS</t>
  </si>
  <si>
    <t>JIMENEZ</t>
  </si>
  <si>
    <t xml:space="preserve">Daneli              </t>
  </si>
  <si>
    <t xml:space="preserve">danelij             </t>
  </si>
  <si>
    <t>DANELIJ</t>
  </si>
  <si>
    <t>DANELI MICHELLE</t>
  </si>
  <si>
    <t xml:space="preserve">Ana                 </t>
  </si>
  <si>
    <t xml:space="preserve">anah                </t>
  </si>
  <si>
    <t>ANAH</t>
  </si>
  <si>
    <t>ANA KAREN</t>
  </si>
  <si>
    <t>LINARES</t>
  </si>
  <si>
    <t xml:space="preserve">Cristal             </t>
  </si>
  <si>
    <t xml:space="preserve">Villa               </t>
  </si>
  <si>
    <t xml:space="preserve">cristalv            </t>
  </si>
  <si>
    <t>CRISTALV</t>
  </si>
  <si>
    <t>VIVIANA CRISTAL</t>
  </si>
  <si>
    <t>VILLA</t>
  </si>
  <si>
    <t xml:space="preserve">Gonzalez            </t>
  </si>
  <si>
    <t xml:space="preserve">jorgeg              </t>
  </si>
  <si>
    <t xml:space="preserve">jorgeg@pearlleather.com.mx    </t>
  </si>
  <si>
    <t>JORGEG</t>
  </si>
  <si>
    <t>JORGE ARMANDO</t>
  </si>
  <si>
    <t>JUAREZ</t>
  </si>
  <si>
    <t>JORGEG@PEARLLEATHER.COM.MX</t>
  </si>
  <si>
    <t xml:space="preserve">Rodolfo             </t>
  </si>
  <si>
    <t xml:space="preserve">Carbajal            </t>
  </si>
  <si>
    <t xml:space="preserve">rodolfoc            </t>
  </si>
  <si>
    <t>RODOLFOC</t>
  </si>
  <si>
    <t>RODOLFO</t>
  </si>
  <si>
    <t>CARBAJAL</t>
  </si>
  <si>
    <t>PAJON</t>
  </si>
  <si>
    <t xml:space="preserve">De la Rosa          </t>
  </si>
  <si>
    <t xml:space="preserve">alejandrod          </t>
  </si>
  <si>
    <t>alejandrod@pearlleather.com.mx</t>
  </si>
  <si>
    <t>ALEJANDROD</t>
  </si>
  <si>
    <t>DE LA ROSA</t>
  </si>
  <si>
    <t>ALEJANDROD@PEARLLEATHER.COM.MX</t>
  </si>
  <si>
    <t xml:space="preserve">jorgej@pearlleather.com.mx    </t>
  </si>
  <si>
    <t>JORGEJ</t>
  </si>
  <si>
    <t>JORGE IVAN</t>
  </si>
  <si>
    <t>JARAMILLO</t>
  </si>
  <si>
    <t>TAPIA</t>
  </si>
  <si>
    <t>JORGEJ@PEARLLEATHER.COM.MX</t>
  </si>
  <si>
    <t xml:space="preserve">Geovanni            </t>
  </si>
  <si>
    <t xml:space="preserve">Lopez               </t>
  </si>
  <si>
    <t xml:space="preserve">geovannil           </t>
  </si>
  <si>
    <t>GEOVANNIL</t>
  </si>
  <si>
    <t>HECTOR GEOVANNI</t>
  </si>
  <si>
    <t xml:space="preserve">Alba                </t>
  </si>
  <si>
    <t xml:space="preserve">Jaquez              </t>
  </si>
  <si>
    <t xml:space="preserve">albaj               </t>
  </si>
  <si>
    <t xml:space="preserve">albaj@pearlleather.com.mx     </t>
  </si>
  <si>
    <t>ALBAJ</t>
  </si>
  <si>
    <t>ALBA VALERIA</t>
  </si>
  <si>
    <t>JAQUEZ</t>
  </si>
  <si>
    <t>BERNAL</t>
  </si>
  <si>
    <t>ALBAJ@PEARLLEATHER.COM.MX</t>
  </si>
  <si>
    <t xml:space="preserve">Eduardo             </t>
  </si>
  <si>
    <t xml:space="preserve">Peñuela             </t>
  </si>
  <si>
    <t xml:space="preserve">eduardop            </t>
  </si>
  <si>
    <t>EDUARDOP</t>
  </si>
  <si>
    <t xml:space="preserve">Esteban             </t>
  </si>
  <si>
    <t xml:space="preserve">franciscoe          </t>
  </si>
  <si>
    <t>franciscoe@pearlleather.com.mx</t>
  </si>
  <si>
    <t>FRANCISCOE</t>
  </si>
  <si>
    <t>FRANCISCO</t>
  </si>
  <si>
    <t>ESTEBAN</t>
  </si>
  <si>
    <t>GUTIERREZ</t>
  </si>
  <si>
    <t>FRANCISCOE@PEARLLEATHER.COM.MX</t>
  </si>
  <si>
    <t xml:space="preserve">Dulce               </t>
  </si>
  <si>
    <t xml:space="preserve">Cobos               </t>
  </si>
  <si>
    <t xml:space="preserve">dulcec              </t>
  </si>
  <si>
    <t xml:space="preserve">dulcec@pearlleather.com.mx    </t>
  </si>
  <si>
    <t>DULCEC</t>
  </si>
  <si>
    <t>DULCE IVETH</t>
  </si>
  <si>
    <t>COBOS</t>
  </si>
  <si>
    <t>FRAYRE</t>
  </si>
  <si>
    <t>DULCEC@PEARLLEATHER.COM.MX</t>
  </si>
  <si>
    <t xml:space="preserve">Jackie              </t>
  </si>
  <si>
    <t xml:space="preserve">jackieg             </t>
  </si>
  <si>
    <t xml:space="preserve">jackie@pearlleather.com.mx    </t>
  </si>
  <si>
    <t>JACKIEG</t>
  </si>
  <si>
    <t>JACKIE JURIANA</t>
  </si>
  <si>
    <t>JACKIE@PEARLLEATHER.COM.MX</t>
  </si>
  <si>
    <t xml:space="preserve">Rosario             </t>
  </si>
  <si>
    <t xml:space="preserve">Mendoza             </t>
  </si>
  <si>
    <t xml:space="preserve">rosariom            </t>
  </si>
  <si>
    <t xml:space="preserve">rosariom.pearl@gmail.com      </t>
  </si>
  <si>
    <t xml:space="preserve">miguelr             </t>
  </si>
  <si>
    <t xml:space="preserve">miguelr@pearlleather.com.mx   </t>
  </si>
  <si>
    <t xml:space="preserve">Nicolas             </t>
  </si>
  <si>
    <t xml:space="preserve">nicolasp            </t>
  </si>
  <si>
    <t xml:space="preserve">password1      </t>
  </si>
  <si>
    <t xml:space="preserve">nicolasp@pearlleather.com.mx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</si>
</sst>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quot;$&quot;* #,##0.00_-;\-&quot;$&quot;* #,##0.00_-;_-&quot;$&quot;* &quot;-&quot;??_-;_-@_-"/>
    <numFmt numFmtId="165" formatCode="_-* #,##0.00_-;\-* #,##0.00_-;_-* &quot;-&quot;??_-;_-@_-"/>
    <numFmt numFmtId="166" formatCode="000"/>
  </numFmts>
  <fonts count="12" x14ac:knownFonts="1">
    <font>
      <sz val="11"/>
      <color theme="1"/>
      <name val="Calibri"/>
      <family val="2"/>
      <scheme val="minor"/>
    </font>
    <font>
      <b/>
      <sz val="9"/>
      <color theme="1"/>
      <name val="Calibri"/>
      <family val="2"/>
      <scheme val="minor"/>
    </font>
    <font>
      <b/>
      <i/>
      <sz val="9"/>
      <color rgb="FFC00000"/>
      <name val="Calibri"/>
      <family val="2"/>
      <scheme val="minor"/>
    </font>
    <font>
      <sz val="9"/>
      <color theme="1"/>
      <name val="Calibri"/>
      <family val="2"/>
      <scheme val="minor"/>
    </font>
    <font>
      <i/>
      <sz val="9"/>
      <color theme="1"/>
      <name val="Calibri"/>
      <family val="2"/>
      <scheme val="minor"/>
    </font>
    <font>
      <b/>
      <u/>
      <sz val="9"/>
      <color theme="1"/>
      <name val="Calibri"/>
      <family val="2"/>
      <scheme val="minor"/>
    </font>
    <font>
      <sz val="10"/>
      <name val="Arial"/>
      <family val="2"/>
    </font>
    <font>
      <sz val="10"/>
      <name val="Arial"/>
      <family val="2"/>
    </font>
    <font>
      <sz val="11"/>
      <color rgb="FFFF0000"/>
      <name val="Calibri"/>
      <family val="2"/>
      <scheme val="minor"/>
    </font>
    <font>
      <b/>
      <i/>
      <sz val="9"/>
      <color rgb="FF00B050"/>
      <name val="Calibri"/>
      <family val="2"/>
      <scheme val="minor"/>
    </font>
    <font>
      <b/>
      <i/>
      <sz val="11"/>
      <color rgb="FFC00000"/>
      <name val="Calibri"/>
      <family val="2"/>
      <scheme val="minor"/>
    </font>
    <font>
      <b/>
      <sz val="9"/>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1">
    <border>
      <left/>
      <right/>
      <top/>
      <bottom/>
      <diagonal/>
    </border>
  </borders>
  <cellStyleXfs count="8">
    <xf numFmtId="0" fontId="0" fillId="0" borderId="0"/>
    <xf numFmtId="0" fontId="6" fillId="0" borderId="0"/>
    <xf numFmtId="165" fontId="7"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4" fontId="6" fillId="0" borderId="0" applyFont="0" applyFill="0" applyBorder="0" applyAlignment="0" applyProtection="0"/>
    <xf numFmtId="0" fontId="7" fillId="0" borderId="0"/>
  </cellStyleXfs>
  <cellXfs count="31">
    <xf numFmtId="0" fontId="0" fillId="0" borderId="0" xfId="0"/>
    <xf numFmtId="0" fontId="1" fillId="0" borderId="0" xfId="0" applyFont="1" applyAlignment="1">
      <alignment vertical="center"/>
    </xf>
    <xf numFmtId="0" fontId="2" fillId="0" borderId="0" xfId="0" applyFont="1" applyFill="1" applyAlignment="1">
      <alignment horizontal="left" vertical="center"/>
    </xf>
    <xf numFmtId="0" fontId="0" fillId="0" borderId="0" xfId="0" applyAlignment="1">
      <alignment horizontal="center"/>
    </xf>
    <xf numFmtId="0" fontId="5" fillId="0" borderId="0" xfId="0" applyFont="1" applyAlignment="1">
      <alignment vertical="center"/>
    </xf>
    <xf numFmtId="0" fontId="1" fillId="0" borderId="0" xfId="0" quotePrefix="1" applyFont="1" applyAlignment="1">
      <alignment vertical="center"/>
    </xf>
    <xf numFmtId="0" fontId="4" fillId="0" borderId="0" xfId="0" quotePrefix="1" applyFont="1" applyAlignment="1">
      <alignment horizontal="left" vertical="center"/>
    </xf>
    <xf numFmtId="0" fontId="0" fillId="0" borderId="0" xfId="0" applyAlignment="1">
      <alignment horizontal="left"/>
    </xf>
    <xf numFmtId="0" fontId="1" fillId="0" borderId="0" xfId="0" applyFont="1" applyFill="1" applyAlignment="1">
      <alignment vertical="center"/>
    </xf>
    <xf numFmtId="0" fontId="3" fillId="0" borderId="0" xfId="0" applyFont="1" applyFill="1" applyAlignment="1">
      <alignment vertical="center"/>
    </xf>
    <xf numFmtId="0" fontId="0" fillId="0" borderId="0" xfId="0" applyFill="1"/>
    <xf numFmtId="0" fontId="8" fillId="0" borderId="0" xfId="0" applyFont="1" applyAlignment="1">
      <alignment horizontal="center"/>
    </xf>
    <xf numFmtId="0" fontId="2" fillId="0" borderId="0" xfId="0" quotePrefix="1" applyFont="1" applyAlignment="1">
      <alignment horizontal="center" vertical="center"/>
    </xf>
    <xf numFmtId="0" fontId="10" fillId="0" borderId="0" xfId="0" applyFont="1" applyAlignment="1">
      <alignment horizontal="center"/>
    </xf>
    <xf numFmtId="0" fontId="11" fillId="0" borderId="0" xfId="0" applyFont="1" applyAlignment="1">
      <alignment horizontal="center" vertical="center"/>
    </xf>
    <xf numFmtId="0" fontId="11" fillId="0" borderId="0" xfId="0" applyFont="1" applyAlignment="1">
      <alignment vertical="center"/>
    </xf>
    <xf numFmtId="0" fontId="1" fillId="0" borderId="0" xfId="0" applyFont="1" applyFill="1" applyAlignment="1">
      <alignment horizontal="center" vertical="center"/>
    </xf>
    <xf numFmtId="0" fontId="4" fillId="0" borderId="0" xfId="0" applyFont="1" applyFill="1" applyAlignment="1">
      <alignment horizontal="center" vertical="center"/>
    </xf>
    <xf numFmtId="0" fontId="4" fillId="0" borderId="0" xfId="0" quotePrefix="1" applyFont="1" applyFill="1" applyAlignment="1">
      <alignment horizontal="left" vertical="center"/>
    </xf>
    <xf numFmtId="0" fontId="4" fillId="0" borderId="0" xfId="0" quotePrefix="1" applyFont="1" applyFill="1" applyAlignment="1">
      <alignment horizontal="center" vertical="center"/>
    </xf>
    <xf numFmtId="0" fontId="9" fillId="0" borderId="0" xfId="0" applyFont="1" applyFill="1" applyAlignment="1">
      <alignment horizontal="left" vertical="center"/>
    </xf>
    <xf numFmtId="0" fontId="3" fillId="0" borderId="0" xfId="0" quotePrefix="1" applyFont="1" applyFill="1" applyAlignment="1">
      <alignment horizontal="center" vertical="center"/>
    </xf>
    <xf numFmtId="166" fontId="2" fillId="0" borderId="0" xfId="0" applyNumberFormat="1" applyFont="1" applyFill="1" applyAlignment="1">
      <alignment horizontal="center" vertical="center"/>
    </xf>
    <xf numFmtId="0" fontId="10" fillId="0" borderId="0" xfId="0" applyFont="1" applyAlignment="1">
      <alignment horizontal="center" vertical="center"/>
    </xf>
    <xf numFmtId="0" fontId="2" fillId="0" borderId="0" xfId="0" quotePrefix="1" applyFont="1" applyAlignment="1">
      <alignment horizontal="left" vertical="center"/>
    </xf>
    <xf numFmtId="0" fontId="3" fillId="0" borderId="0" xfId="0" quotePrefix="1" applyFont="1" applyFill="1" applyAlignment="1">
      <alignment horizontal="left" vertical="center"/>
    </xf>
    <xf numFmtId="0" fontId="10" fillId="0" borderId="0" xfId="0" applyFont="1" applyAlignment="1">
      <alignment horizontal="left" vertical="center"/>
    </xf>
    <xf numFmtId="0" fontId="0" fillId="2" borderId="0" xfId="0" applyFill="1"/>
    <xf numFmtId="0" fontId="0" fillId="3" borderId="0" xfId="0" applyFill="1"/>
    <xf numFmtId="0" fontId="0" fillId="4" borderId="0" xfId="0" applyFill="1"/>
    <xf numFmtId="47" fontId="0" fillId="0" borderId="0" xfId="0" applyNumberFormat="1"/>
  </cellXfs>
  <cellStyles count="8">
    <cellStyle name="Comma 2" xfId="2"/>
    <cellStyle name="Millares 2" xfId="3"/>
    <cellStyle name="Millares 3" xfId="4"/>
    <cellStyle name="Millares 4" xfId="5"/>
    <cellStyle name="Moneda 2" xfId="6"/>
    <cellStyle name="Normal" xfId="0" builtinId="0"/>
    <cellStyle name="Normal 2" xfId="7"/>
    <cellStyle name="Normal 3" xfId="1"/>
  </cellStyles>
  <dxfs count="23">
    <dxf>
      <font>
        <b/>
        <i/>
        <strike val="0"/>
        <color rgb="FFC00000"/>
      </font>
    </dxf>
    <dxf>
      <font>
        <b/>
        <i/>
        <strike val="0"/>
        <color rgb="FFC00000"/>
      </font>
    </dxf>
    <dxf>
      <font>
        <b/>
        <i/>
        <strike val="0"/>
        <color rgb="FFC00000"/>
      </font>
    </dxf>
    <dxf>
      <font>
        <b/>
        <i/>
        <strike val="0"/>
        <color rgb="FFC00000"/>
      </font>
    </dxf>
    <dxf>
      <font>
        <b/>
        <i/>
        <strike val="0"/>
        <color rgb="FFC00000"/>
      </font>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b/>
        <i/>
        <strike val="0"/>
        <color rgb="FFC00000"/>
      </font>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b/>
        <i/>
        <strike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R249"/>
  <sheetViews>
    <sheetView tabSelected="1" zoomScaleNormal="100" workbookViewId="0">
      <selection activeCell="O3" sqref="O3:O74"/>
    </sheetView>
  </sheetViews>
  <sheetFormatPr defaultColWidth="11.42578125" defaultRowHeight="15" x14ac:dyDescent="0.25"/>
  <cols>
    <col min="1" max="1" width="3.28515625" style="11" customWidth="1"/>
    <col min="2" max="2" width="4.140625" customWidth="1"/>
    <col min="3" max="3" width="13.7109375" style="13" customWidth="1"/>
    <col min="4" max="4" width="18" style="7" bestFit="1" customWidth="1"/>
    <col min="5" max="5" width="18" style="7" customWidth="1"/>
    <col min="6" max="6" width="15" style="7" bestFit="1" customWidth="1"/>
    <col min="7" max="7" width="15.5703125" style="23" bestFit="1" customWidth="1"/>
    <col min="8" max="8" width="24.28515625" style="26" bestFit="1" customWidth="1"/>
    <col min="9" max="9" width="24.28515625" style="26" customWidth="1"/>
    <col min="10" max="10" width="14.85546875" style="13" bestFit="1" customWidth="1"/>
    <col min="11" max="11" width="15.85546875" style="23" customWidth="1"/>
    <col min="12" max="12" width="14.85546875" style="13" bestFit="1" customWidth="1"/>
    <col min="13" max="13" width="24.5703125" style="23" bestFit="1" customWidth="1"/>
    <col min="14" max="14" width="8.42578125" customWidth="1"/>
    <col min="15" max="15" width="25.28515625" customWidth="1"/>
    <col min="16" max="16" width="17.42578125" style="10" customWidth="1"/>
  </cols>
  <sheetData>
    <row r="1" spans="1:18" s="15" customFormat="1" x14ac:dyDescent="0.25">
      <c r="A1" s="14" t="s">
        <v>3</v>
      </c>
      <c r="B1" s="15" t="s">
        <v>0</v>
      </c>
      <c r="C1" t="s">
        <v>75</v>
      </c>
      <c r="D1" t="s">
        <v>88</v>
      </c>
      <c r="E1" t="s">
        <v>89</v>
      </c>
      <c r="F1" t="s">
        <v>90</v>
      </c>
      <c r="G1" t="s">
        <v>91</v>
      </c>
      <c r="H1" t="s">
        <v>92</v>
      </c>
      <c r="I1" t="s">
        <v>93</v>
      </c>
      <c r="J1" t="s">
        <v>94</v>
      </c>
      <c r="K1" t="s">
        <v>74</v>
      </c>
      <c r="L1" t="s">
        <v>95</v>
      </c>
      <c r="M1" t="s">
        <v>96</v>
      </c>
      <c r="O1" s="15" t="s">
        <v>4</v>
      </c>
      <c r="P1" s="15" t="s">
        <v>76</v>
      </c>
      <c r="Q1" s="15" t="s">
        <v>1</v>
      </c>
      <c r="R1" s="15" t="str">
        <f>CONCATENATE($O$1,$P$1,$Q$1,  B3, ", ", )</f>
        <v xml:space="preserve">EXECUTE [dbo].[PG_CI_SISTEMA_TAG] 139, </v>
      </c>
    </row>
    <row r="2" spans="1:18" s="8" customFormat="1" x14ac:dyDescent="0.25">
      <c r="A2" s="3"/>
      <c r="B2" s="5" t="s">
        <v>2</v>
      </c>
      <c r="C2" s="12" t="s">
        <v>2</v>
      </c>
      <c r="D2" s="6" t="s">
        <v>2</v>
      </c>
      <c r="E2" s="6"/>
      <c r="F2" s="6" t="s">
        <v>2</v>
      </c>
      <c r="G2" s="12" t="s">
        <v>2</v>
      </c>
      <c r="H2" s="24" t="s">
        <v>2</v>
      </c>
      <c r="I2" s="24"/>
      <c r="J2" s="12" t="s">
        <v>2</v>
      </c>
      <c r="K2" s="12" t="s">
        <v>2</v>
      </c>
      <c r="L2" s="12"/>
      <c r="M2" s="12"/>
      <c r="N2" s="1"/>
      <c r="O2" s="2" t="str">
        <f>"-- =========================================================="</f>
        <v>-- ==========================================================</v>
      </c>
      <c r="Q2" s="4"/>
      <c r="R2" s="1"/>
    </row>
    <row r="3" spans="1:18" s="8" customFormat="1" x14ac:dyDescent="0.25">
      <c r="A3" s="16"/>
      <c r="B3" s="17">
        <v>139</v>
      </c>
      <c r="C3" s="22">
        <v>0</v>
      </c>
      <c r="D3" s="18" t="s">
        <v>72</v>
      </c>
      <c r="E3" s="18" t="s">
        <v>98</v>
      </c>
      <c r="F3" s="19" t="s">
        <v>73</v>
      </c>
      <c r="G3" s="23">
        <f>C3</f>
        <v>0</v>
      </c>
      <c r="H3" s="25" t="s">
        <v>97</v>
      </c>
      <c r="I3" s="25"/>
      <c r="J3" s="21">
        <v>1</v>
      </c>
      <c r="K3" s="23">
        <v>0</v>
      </c>
      <c r="L3" s="21">
        <v>0</v>
      </c>
      <c r="M3" s="23">
        <v>1</v>
      </c>
      <c r="O3" s="20" t="str">
        <f>CONCATENATE(CI_!$R$1,C3,", '",D3,"', '",E3,"', '",F3,"' , ",G3," , '",H3,"' , '",I3,"', ",J3,",",K3,",",L3,",",M3)</f>
        <v>EXECUTE [dbo].[PG_CI_SISTEMA_TAG] 139, 0, '(NO-SISTEMA)', '( NO-SISTEMA )', '( N/S )' , 0 , '#0 // (NO-SISTEMA)' , '', 1,0,0,1</v>
      </c>
      <c r="P3" s="9"/>
    </row>
    <row r="4" spans="1:18" s="8" customFormat="1" x14ac:dyDescent="0.25">
      <c r="A4" s="16"/>
      <c r="B4" s="17">
        <v>139</v>
      </c>
      <c r="C4" s="22">
        <v>1</v>
      </c>
      <c r="D4" s="18" t="s">
        <v>99</v>
      </c>
      <c r="E4" s="18" t="s">
        <v>100</v>
      </c>
      <c r="F4" s="19" t="s">
        <v>101</v>
      </c>
      <c r="G4" s="23">
        <v>1</v>
      </c>
      <c r="H4" s="25"/>
      <c r="I4" s="25"/>
      <c r="J4" s="21">
        <v>1</v>
      </c>
      <c r="K4" s="23">
        <v>70</v>
      </c>
      <c r="L4" s="21">
        <v>0</v>
      </c>
      <c r="M4" s="23">
        <v>1</v>
      </c>
      <c r="O4" s="20" t="str">
        <f>CONCATENATE(CI_!$R$1,C4,", '",D4,"', '",E4,"', '",F4,"' , ",G4," , '",H4,"' , '",I4,"', ",J4,",",K4,",",L4,",",M4)</f>
        <v>EXECUTE [dbo].[PG_CI_SISTEMA_TAG] 139, 1, 'prod_rpt', 'PRODUCTION REPORT', '#001' , 1 , '' , '', 1,70,0,1</v>
      </c>
      <c r="P4" s="9"/>
    </row>
    <row r="5" spans="1:18" s="8" customFormat="1" x14ac:dyDescent="0.25">
      <c r="A5" s="16"/>
      <c r="B5" s="17">
        <v>139</v>
      </c>
      <c r="C5" s="22">
        <v>2</v>
      </c>
      <c r="D5" s="18" t="s">
        <v>102</v>
      </c>
      <c r="E5" s="18" t="s">
        <v>103</v>
      </c>
      <c r="F5" s="19" t="s">
        <v>104</v>
      </c>
      <c r="G5" s="23">
        <v>2</v>
      </c>
      <c r="H5" s="25"/>
      <c r="I5" s="25"/>
      <c r="J5" s="21">
        <v>1</v>
      </c>
      <c r="K5" s="23">
        <v>70</v>
      </c>
      <c r="L5" s="21">
        <v>0</v>
      </c>
      <c r="M5" s="23">
        <v>30</v>
      </c>
      <c r="O5" s="20" t="str">
        <f>CONCATENATE(CI_!$R$1,C5,", '",D5,"', '",E5,"', '",F5,"' , ",G5," , '",H5,"' , '",I5,"', ",J5,",",K5,",",L5,",",M5)</f>
        <v>EXECUTE [dbo].[PG_CI_SISTEMA_TAG] 139, 2, 'SupScreen', 'SUPERVISORS', '#002' , 2 , '' , '', 1,70,0,30</v>
      </c>
      <c r="P5" s="9"/>
    </row>
    <row r="6" spans="1:18" s="8" customFormat="1" x14ac:dyDescent="0.25">
      <c r="A6" s="16"/>
      <c r="B6" s="17">
        <v>139</v>
      </c>
      <c r="C6" s="22">
        <v>3</v>
      </c>
      <c r="D6" s="18" t="s">
        <v>105</v>
      </c>
      <c r="E6" s="18" t="s">
        <v>106</v>
      </c>
      <c r="F6" s="19" t="s">
        <v>107</v>
      </c>
      <c r="G6" s="23">
        <v>3</v>
      </c>
      <c r="H6" s="25"/>
      <c r="I6" s="25"/>
      <c r="J6" s="21">
        <v>1</v>
      </c>
      <c r="K6" s="23">
        <v>70</v>
      </c>
      <c r="L6" s="21">
        <v>0</v>
      </c>
      <c r="M6" s="23">
        <v>26</v>
      </c>
      <c r="O6" s="20" t="str">
        <f>CONCATENATE(CI_!$R$1,C6,", '",D6,"', '",E6,"', '",F6,"' , ",G6," , '",H6,"' , '",I6,"', ",J6,",",K6,",",L6,",",M6)</f>
        <v>EXECUTE [dbo].[PG_CI_SISTEMA_TAG] 139, 3, 'frmMain2', 'PRODUCTION', '#003' , 3 , '' , '', 1,70,0,26</v>
      </c>
      <c r="P6" s="9"/>
    </row>
    <row r="7" spans="1:18" x14ac:dyDescent="0.25">
      <c r="A7" s="16"/>
      <c r="B7" s="17">
        <v>139</v>
      </c>
      <c r="C7" s="22">
        <v>4</v>
      </c>
      <c r="D7" s="18" t="s">
        <v>108</v>
      </c>
      <c r="E7" s="18" t="s">
        <v>109</v>
      </c>
      <c r="F7" s="19" t="s">
        <v>110</v>
      </c>
      <c r="G7" s="23">
        <v>4</v>
      </c>
      <c r="H7" s="25"/>
      <c r="I7" s="25"/>
      <c r="J7" s="21">
        <v>1</v>
      </c>
      <c r="K7" s="23">
        <v>70</v>
      </c>
      <c r="L7" s="21">
        <v>0</v>
      </c>
      <c r="M7" s="23">
        <v>24</v>
      </c>
      <c r="N7" s="8"/>
      <c r="O7" s="20" t="str">
        <f>CONCATENATE(CI_!$R$1,C7,", '",D7,"', '",E7,"', '",F7,"' , ",G7," , '",H7,"' , '",I7,"', ",J7,",",K7,",",L7,",",M7)</f>
        <v>EXECUTE [dbo].[PG_CI_SISTEMA_TAG] 139, 4, 'rej', 'REJECTS', '#004' , 4 , '' , '', 1,70,0,24</v>
      </c>
      <c r="P7" s="9"/>
      <c r="Q7" s="8"/>
      <c r="R7" s="8"/>
    </row>
    <row r="8" spans="1:18" s="8" customFormat="1" x14ac:dyDescent="0.25">
      <c r="A8" s="16"/>
      <c r="B8" s="17">
        <v>139</v>
      </c>
      <c r="C8" s="22">
        <v>5</v>
      </c>
      <c r="D8" s="18" t="s">
        <v>111</v>
      </c>
      <c r="E8" s="18" t="s">
        <v>112</v>
      </c>
      <c r="F8" s="19" t="s">
        <v>113</v>
      </c>
      <c r="G8" s="23">
        <v>5</v>
      </c>
      <c r="H8" s="25"/>
      <c r="I8" s="25"/>
      <c r="J8" s="21">
        <v>1</v>
      </c>
      <c r="K8" s="23">
        <v>60</v>
      </c>
      <c r="L8" s="21">
        <v>0</v>
      </c>
      <c r="M8" s="23">
        <v>21</v>
      </c>
      <c r="O8" s="20" t="str">
        <f>CONCATENATE(CI_!$R$1,C8,", '",D8,"', '",E8,"', '",F8,"' , ",G8," , '",H8,"' , '",I8,"', ",J8,",",K8,",",L8,",",M8)</f>
        <v>EXECUTE [dbo].[PG_CI_SISTEMA_TAG] 139, 5, 'Planning', 'PLANNING SCREEN', '#005' , 5 , '' , '', 1,60,0,21</v>
      </c>
      <c r="P8" s="9"/>
    </row>
    <row r="9" spans="1:18" s="8" customFormat="1" x14ac:dyDescent="0.25">
      <c r="A9" s="16"/>
      <c r="B9" s="17">
        <v>139</v>
      </c>
      <c r="C9" s="22">
        <v>6</v>
      </c>
      <c r="D9" s="18" t="s">
        <v>114</v>
      </c>
      <c r="E9" s="18" t="s">
        <v>115</v>
      </c>
      <c r="F9" s="19" t="s">
        <v>116</v>
      </c>
      <c r="G9" s="23">
        <v>6</v>
      </c>
      <c r="H9" s="25"/>
      <c r="I9" s="25"/>
      <c r="J9" s="21">
        <v>1</v>
      </c>
      <c r="K9" s="23">
        <v>60</v>
      </c>
      <c r="L9" s="21">
        <v>0</v>
      </c>
      <c r="M9" s="23">
        <v>19</v>
      </c>
      <c r="O9" s="20" t="str">
        <f>CONCATENATE(CI_!$R$1,C9,", '",D9,"', '",E9,"', '",F9,"' , ",G9," , '",H9,"' , '",I9,"', ",J9,",",K9,",",L9,",",M9)</f>
        <v>EXECUTE [dbo].[PG_CI_SISTEMA_TAG] 139, 6, 'Transferencias', 'TRANSACTIONS', '#006' , 6 , '' , '', 1,60,0,19</v>
      </c>
      <c r="P9" s="9"/>
    </row>
    <row r="10" spans="1:18" s="8" customFormat="1" x14ac:dyDescent="0.25">
      <c r="A10" s="16"/>
      <c r="B10" s="17">
        <v>139</v>
      </c>
      <c r="C10" s="22">
        <v>7</v>
      </c>
      <c r="D10" s="18" t="s">
        <v>117</v>
      </c>
      <c r="E10" s="18" t="s">
        <v>118</v>
      </c>
      <c r="F10" s="19" t="s">
        <v>119</v>
      </c>
      <c r="G10" s="23">
        <v>7</v>
      </c>
      <c r="H10" s="25"/>
      <c r="I10" s="25"/>
      <c r="J10" s="21">
        <v>0</v>
      </c>
      <c r="K10" s="23">
        <v>60</v>
      </c>
      <c r="L10" s="21">
        <v>0</v>
      </c>
      <c r="M10" s="23">
        <v>7</v>
      </c>
      <c r="O10" s="20" t="str">
        <f>CONCATENATE(CI_!$R$1,C10,", '",D10,"', '",E10,"', '",F10,"' , ",G10," , '",H10,"' , '",I10,"', ",J10,",",K10,",",L10,",",M10)</f>
        <v>EXECUTE [dbo].[PG_CI_SISTEMA_TAG] 139, 7, 'sc_pieles2', 'HIDES SCANNER', '#007' , 7 , '' , '', 0,60,0,7</v>
      </c>
      <c r="P10" s="9"/>
    </row>
    <row r="11" spans="1:18" s="8" customFormat="1" x14ac:dyDescent="0.25">
      <c r="A11" s="16"/>
      <c r="B11" s="17">
        <v>139</v>
      </c>
      <c r="C11" s="22">
        <v>8</v>
      </c>
      <c r="D11" s="18" t="s">
        <v>15</v>
      </c>
      <c r="E11" s="18" t="s">
        <v>120</v>
      </c>
      <c r="F11" s="19" t="s">
        <v>127</v>
      </c>
      <c r="G11" s="23">
        <v>8</v>
      </c>
      <c r="H11" s="25"/>
      <c r="I11" s="25"/>
      <c r="J11" s="21">
        <v>1</v>
      </c>
      <c r="K11" s="23">
        <v>60</v>
      </c>
      <c r="L11" s="21">
        <v>0</v>
      </c>
      <c r="M11" s="23">
        <v>35</v>
      </c>
      <c r="O11" s="20" t="str">
        <f>CONCATENATE(CI_!$R$1,C11,", '",D11,"', '",E11,"', '",F11,"' , ",G11," , '",H11,"' , '",I11,"', ",J11,",",K11,",",L11,",",M11)</f>
        <v>EXECUTE [dbo].[PG_CI_SISTEMA_TAG] 139, 8, 'labels', 'LABELS', '#008' , 8 , '' , '', 1,60,0,35</v>
      </c>
      <c r="P11" s="9"/>
    </row>
    <row r="12" spans="1:18" s="8" customFormat="1" x14ac:dyDescent="0.25">
      <c r="A12" s="16"/>
      <c r="B12" s="17">
        <v>139</v>
      </c>
      <c r="C12" s="22">
        <v>9</v>
      </c>
      <c r="D12" s="18" t="s">
        <v>122</v>
      </c>
      <c r="E12" s="18" t="s">
        <v>123</v>
      </c>
      <c r="F12" s="19" t="s">
        <v>130</v>
      </c>
      <c r="G12" s="23">
        <v>9</v>
      </c>
      <c r="H12" s="25"/>
      <c r="I12" s="25"/>
      <c r="J12" s="21">
        <v>1</v>
      </c>
      <c r="K12" s="23">
        <v>60</v>
      </c>
      <c r="L12" s="21">
        <v>0</v>
      </c>
      <c r="M12" s="23">
        <v>34</v>
      </c>
      <c r="O12" s="20" t="str">
        <f>CONCATENATE(CI_!$R$1,C12,", '",D12,"', '",E12,"', '",F12,"' , ",G12," , '",H12,"' , '",I12,"', ",J12,",",K12,",",L12,",",M12)</f>
        <v>EXECUTE [dbo].[PG_CI_SISTEMA_TAG] 139, 9, 'etiqueta_piel', 'HIDE LABELS', '#009' , 9 , '' , '', 1,60,0,34</v>
      </c>
      <c r="P12" s="9"/>
    </row>
    <row r="13" spans="1:18" s="8" customFormat="1" x14ac:dyDescent="0.25">
      <c r="A13" s="16"/>
      <c r="B13" s="17">
        <v>139</v>
      </c>
      <c r="C13" s="22">
        <v>10</v>
      </c>
      <c r="D13" s="18" t="s">
        <v>125</v>
      </c>
      <c r="E13" s="18" t="s">
        <v>126</v>
      </c>
      <c r="F13" s="19" t="s">
        <v>133</v>
      </c>
      <c r="G13" s="23">
        <v>10</v>
      </c>
      <c r="H13" s="25"/>
      <c r="I13" s="25"/>
      <c r="J13" s="21">
        <v>1</v>
      </c>
      <c r="K13" s="23">
        <v>20</v>
      </c>
      <c r="L13" s="21">
        <v>0</v>
      </c>
      <c r="M13" s="23">
        <v>14</v>
      </c>
      <c r="O13" s="20" t="str">
        <f>CONCATENATE(CI_!$R$1,C13,", '",D13,"', '",E13,"', '",F13,"' , ",G13," , '",H13,"' , '",I13,"', ",J13,",",K13,",",L13,",",M13)</f>
        <v>EXECUTE [dbo].[PG_CI_SISTEMA_TAG] 139, 10, 'Packing', 'PACKING SLIP', '#010' , 10 , '' , '', 1,20,0,14</v>
      </c>
      <c r="P13" s="9"/>
    </row>
    <row r="14" spans="1:18" s="8" customFormat="1" x14ac:dyDescent="0.25">
      <c r="A14" s="16"/>
      <c r="B14" s="17">
        <v>139</v>
      </c>
      <c r="C14" s="22">
        <v>11</v>
      </c>
      <c r="D14" s="18" t="s">
        <v>128</v>
      </c>
      <c r="E14" s="18" t="s">
        <v>129</v>
      </c>
      <c r="F14" s="19" t="s">
        <v>121</v>
      </c>
      <c r="G14" s="23">
        <v>11</v>
      </c>
      <c r="H14" s="25"/>
      <c r="I14" s="25"/>
      <c r="J14" s="21">
        <v>1</v>
      </c>
      <c r="K14" s="23">
        <v>20</v>
      </c>
      <c r="L14" s="21">
        <v>0</v>
      </c>
      <c r="M14" s="23">
        <v>20</v>
      </c>
      <c r="O14" s="20" t="str">
        <f>CONCATENATE(CI_!$R$1,C14,", '",D14,"', '",E14,"', '",F14,"' , ",G14," , '",H14,"' , '",I14,"', ",J14,",",K14,",",L14,",",M14)</f>
        <v>EXECUTE [dbo].[PG_CI_SISTEMA_TAG] 139, 11, 'FO_TRANSFER_SCREEN', 'TRANSFER MCT TO MFP', '#011' , 11 , '' , '', 1,20,0,20</v>
      </c>
      <c r="P14" s="9"/>
    </row>
    <row r="15" spans="1:18" s="8" customFormat="1" x14ac:dyDescent="0.25">
      <c r="A15" s="16"/>
      <c r="B15" s="17">
        <v>139</v>
      </c>
      <c r="C15" s="22">
        <v>12</v>
      </c>
      <c r="D15" s="18" t="s">
        <v>131</v>
      </c>
      <c r="E15" s="18" t="s">
        <v>132</v>
      </c>
      <c r="F15" s="19" t="s">
        <v>124</v>
      </c>
      <c r="G15" s="23">
        <v>12</v>
      </c>
      <c r="H15" s="25"/>
      <c r="I15" s="25"/>
      <c r="J15" s="21">
        <v>1</v>
      </c>
      <c r="K15" s="23">
        <v>20</v>
      </c>
      <c r="L15" s="21">
        <v>0</v>
      </c>
      <c r="M15" s="23">
        <v>12</v>
      </c>
      <c r="O15" s="20" t="str">
        <f>CONCATENATE(CI_!$R$1,C15,", '",D15,"', '",E15,"', '",F15,"' , ",G15," , '",H15,"' , '",I15,"', ",J15,",",K15,",",L15,",",M15)</f>
        <v>EXECUTE [dbo].[PG_CI_SISTEMA_TAG] 139, 12, 'InventMFP', 'MFP INVENTORY', '#012' , 12 , '' , '', 1,20,0,12</v>
      </c>
      <c r="P15" s="9"/>
    </row>
    <row r="16" spans="1:18" s="8" customFormat="1" x14ac:dyDescent="0.25">
      <c r="A16" s="16"/>
      <c r="B16" s="17">
        <v>139</v>
      </c>
      <c r="C16" s="22">
        <v>13</v>
      </c>
      <c r="D16" s="18" t="s">
        <v>134</v>
      </c>
      <c r="E16" s="18" t="s">
        <v>134</v>
      </c>
      <c r="F16" s="19" t="s">
        <v>135</v>
      </c>
      <c r="G16" s="23">
        <v>13</v>
      </c>
      <c r="H16" s="25"/>
      <c r="I16" s="25"/>
      <c r="J16" s="21">
        <v>1</v>
      </c>
      <c r="K16" s="23">
        <v>10</v>
      </c>
      <c r="L16" s="21">
        <v>0</v>
      </c>
      <c r="M16" s="23">
        <v>31</v>
      </c>
      <c r="O16" s="20" t="str">
        <f>CONCATENATE(CI_!$R$1,C16,", '",D16,"', '",E16,"', '",F16,"' , ",G16," , '",H16,"' , '",I16,"', ",J16,",",K16,",",L16,",",M16)</f>
        <v>EXECUTE [dbo].[PG_CI_SISTEMA_TAG] 139, 13, 'PPMS', 'PPMS', '#013' , 13 , '' , '', 1,10,0,31</v>
      </c>
      <c r="P16" s="9"/>
    </row>
    <row r="17" spans="1:16" s="8" customFormat="1" x14ac:dyDescent="0.25">
      <c r="A17" s="16"/>
      <c r="B17" s="17">
        <v>139</v>
      </c>
      <c r="C17" s="22">
        <v>14</v>
      </c>
      <c r="D17" s="18" t="s">
        <v>136</v>
      </c>
      <c r="E17" s="18" t="s">
        <v>137</v>
      </c>
      <c r="F17" s="19" t="s">
        <v>138</v>
      </c>
      <c r="G17" s="23">
        <v>14</v>
      </c>
      <c r="H17" s="25"/>
      <c r="I17" s="25"/>
      <c r="J17" s="21">
        <v>1</v>
      </c>
      <c r="K17" s="23">
        <v>60</v>
      </c>
      <c r="L17" s="21">
        <v>0</v>
      </c>
      <c r="M17" s="23">
        <v>6</v>
      </c>
      <c r="O17" s="20" t="str">
        <f>CONCATENATE(CI_!$R$1,C17,", '",D17,"', '",E17,"', '",F17,"' , ",G17," , '",H17,"' , '",I17,"', ",J17,",",K17,",",L17,",",M17)</f>
        <v>EXECUTE [dbo].[PG_CI_SISTEMA_TAG] 139, 14, 'readEDI', 'LOAD RELEASE', '#014' , 14 , '' , '', 1,60,0,6</v>
      </c>
      <c r="P17" s="9"/>
    </row>
    <row r="18" spans="1:16" s="8" customFormat="1" x14ac:dyDescent="0.25">
      <c r="A18" s="16"/>
      <c r="B18" s="17">
        <v>139</v>
      </c>
      <c r="C18" s="22">
        <v>15</v>
      </c>
      <c r="D18" s="18" t="s">
        <v>139</v>
      </c>
      <c r="E18" s="18" t="s">
        <v>140</v>
      </c>
      <c r="F18" s="19" t="s">
        <v>141</v>
      </c>
      <c r="G18" s="23">
        <v>15</v>
      </c>
      <c r="H18" s="25"/>
      <c r="I18" s="25"/>
      <c r="J18" s="21">
        <v>1</v>
      </c>
      <c r="K18" s="23">
        <v>60</v>
      </c>
      <c r="L18" s="21">
        <v>0</v>
      </c>
      <c r="M18" s="23">
        <v>29</v>
      </c>
      <c r="O18" s="20" t="str">
        <f>CONCATENATE(CI_!$R$1,C18,", '",D18,"', '",E18,"', '",F18,"' , ",G18," , '",H18,"' , '",I18,"', ",J18,",",K18,",",L18,",",M18)</f>
        <v>EXECUTE [dbo].[PG_CI_SISTEMA_TAG] 139, 15, 'diamante', 'EDI WEEKLY RPT', '#015' , 15 , '' , '', 1,60,0,29</v>
      </c>
      <c r="P18" s="9"/>
    </row>
    <row r="19" spans="1:16" s="8" customFormat="1" x14ac:dyDescent="0.25">
      <c r="A19" s="16"/>
      <c r="B19" s="17">
        <v>139</v>
      </c>
      <c r="C19" s="22">
        <v>16</v>
      </c>
      <c r="D19" s="18" t="s">
        <v>142</v>
      </c>
      <c r="E19" s="18" t="s">
        <v>143</v>
      </c>
      <c r="F19" s="19" t="s">
        <v>144</v>
      </c>
      <c r="G19" s="23">
        <v>16</v>
      </c>
      <c r="H19" s="25"/>
      <c r="I19" s="25"/>
      <c r="J19" s="21">
        <v>1</v>
      </c>
      <c r="K19" s="23">
        <v>20</v>
      </c>
      <c r="L19" s="21">
        <v>0</v>
      </c>
      <c r="M19" s="23">
        <v>25</v>
      </c>
      <c r="O19" s="20" t="str">
        <f>CONCATENATE(CI_!$R$1,C19,", '",D19,"', '",E19,"', '",F19,"' , ",G19," , '",H19,"' , '",I19,"', ",J19,",",K19,",",L19,",",M19)</f>
        <v>EXECUTE [dbo].[PG_CI_SISTEMA_TAG] 139, 16, 'InvD', 'DAILY INVENTORY', '#016' , 16 , '' , '', 1,20,0,25</v>
      </c>
      <c r="P19" s="9"/>
    </row>
    <row r="20" spans="1:16" s="8" customFormat="1" x14ac:dyDescent="0.25">
      <c r="A20" s="16"/>
      <c r="B20" s="17">
        <v>139</v>
      </c>
      <c r="C20" s="22">
        <v>17</v>
      </c>
      <c r="D20" s="18" t="s">
        <v>145</v>
      </c>
      <c r="E20" s="18" t="s">
        <v>145</v>
      </c>
      <c r="F20" s="19" t="s">
        <v>148</v>
      </c>
      <c r="G20" s="23">
        <v>17</v>
      </c>
      <c r="H20" s="25"/>
      <c r="I20" s="25"/>
      <c r="J20" s="21">
        <v>0</v>
      </c>
      <c r="K20" s="23">
        <v>0</v>
      </c>
      <c r="L20" s="21">
        <v>0</v>
      </c>
      <c r="M20" s="23">
        <v>1</v>
      </c>
      <c r="O20" s="20" t="str">
        <f>CONCATENATE(CI_!$R$1,C20,", '",D20,"', '",E20,"', '",F20,"' , ",G20," , '",H20,"' , '",I20,"', ",J20,",",K20,",",L20,",",M20)</f>
        <v>EXECUTE [dbo].[PG_CI_SISTEMA_TAG] 139, 17, '2D BARCODE', '2D BARCODE', '#017' , 17 , '' , '', 0,0,0,1</v>
      </c>
      <c r="P20" s="9"/>
    </row>
    <row r="21" spans="1:16" s="8" customFormat="1" x14ac:dyDescent="0.25">
      <c r="A21" s="16"/>
      <c r="B21" s="17">
        <v>139</v>
      </c>
      <c r="C21" s="22">
        <v>18</v>
      </c>
      <c r="D21" s="18" t="s">
        <v>146</v>
      </c>
      <c r="E21" s="18" t="s">
        <v>147</v>
      </c>
      <c r="F21" s="19" t="s">
        <v>151</v>
      </c>
      <c r="G21" s="23">
        <v>18</v>
      </c>
      <c r="H21" s="25"/>
      <c r="I21" s="25"/>
      <c r="J21" s="21">
        <v>1</v>
      </c>
      <c r="K21" s="23">
        <v>40</v>
      </c>
      <c r="L21" s="21">
        <v>0</v>
      </c>
      <c r="M21" s="23">
        <v>2</v>
      </c>
      <c r="O21" s="20" t="str">
        <f>CONCATENATE(CI_!$R$1,C21,", '",D21,"', '",E21,"', '",F21,"' , ",G21," , '",H21,"' , '",I21,"', ",J21,",",K21,",",L21,",",M21)</f>
        <v>EXECUTE [dbo].[PG_CI_SISTEMA_TAG] 139, 18, 'HidesAllocation', 'HIDES ALLOCATION', '#018' , 18 , '' , '', 1,40,0,2</v>
      </c>
      <c r="P21" s="9"/>
    </row>
    <row r="22" spans="1:16" s="8" customFormat="1" x14ac:dyDescent="0.25">
      <c r="A22" s="16"/>
      <c r="B22" s="17">
        <v>139</v>
      </c>
      <c r="C22" s="22">
        <v>19</v>
      </c>
      <c r="D22" s="18" t="s">
        <v>149</v>
      </c>
      <c r="E22" s="18" t="s">
        <v>150</v>
      </c>
      <c r="F22" s="19" t="s">
        <v>154</v>
      </c>
      <c r="G22" s="23">
        <v>19</v>
      </c>
      <c r="H22" s="25"/>
      <c r="I22" s="25"/>
      <c r="J22" s="21">
        <v>1</v>
      </c>
      <c r="K22" s="23">
        <v>80</v>
      </c>
      <c r="L22" s="21">
        <v>0</v>
      </c>
      <c r="M22" s="23">
        <v>4</v>
      </c>
      <c r="O22" s="20" t="str">
        <f>CONCATENATE(CI_!$R$1,C22,", '",D22,"', '",E22,"', '",F22,"' , ",G22," , '",H22,"' , '",I22,"', ",J22,",",K22,",",L22,",",M22)</f>
        <v>EXECUTE [dbo].[PG_CI_SISTEMA_TAG] 139, 19, 'personal', 'HUMAN RESOURCES', '#019' , 19 , '' , '', 1,80,0,4</v>
      </c>
      <c r="P22" s="9"/>
    </row>
    <row r="23" spans="1:16" s="8" customFormat="1" x14ac:dyDescent="0.25">
      <c r="A23" s="16"/>
      <c r="B23" s="17">
        <v>139</v>
      </c>
      <c r="C23" s="22">
        <v>20</v>
      </c>
      <c r="D23" s="18" t="s">
        <v>152</v>
      </c>
      <c r="E23" s="18" t="s">
        <v>153</v>
      </c>
      <c r="F23" s="19" t="s">
        <v>157</v>
      </c>
      <c r="G23" s="23">
        <v>20</v>
      </c>
      <c r="H23" s="25"/>
      <c r="I23" s="25"/>
      <c r="J23" s="21">
        <v>1</v>
      </c>
      <c r="K23" s="23">
        <v>40</v>
      </c>
      <c r="L23" s="21">
        <v>0</v>
      </c>
      <c r="M23" s="23">
        <v>4</v>
      </c>
      <c r="O23" s="20" t="str">
        <f>CONCATENATE(CI_!$R$1,C23,", '",D23,"', '",E23,"', '",F23,"' , ",G23," , '",H23,"' , '",I23,"', ",J23,",",K23,",",L23,",",M23)</f>
        <v>EXECUTE [dbo].[PG_CI_SISTEMA_TAG] 139, 20, 'frmRange', 'STOCK STATUS', '#020' , 20 , '' , '', 1,40,0,4</v>
      </c>
      <c r="P23" s="9"/>
    </row>
    <row r="24" spans="1:16" s="8" customFormat="1" x14ac:dyDescent="0.25">
      <c r="A24" s="16"/>
      <c r="B24" s="17">
        <v>139</v>
      </c>
      <c r="C24" s="22">
        <v>21</v>
      </c>
      <c r="D24" s="18" t="s">
        <v>155</v>
      </c>
      <c r="E24" s="18" t="s">
        <v>156</v>
      </c>
      <c r="F24" s="19" t="s">
        <v>161</v>
      </c>
      <c r="G24" s="23">
        <v>21</v>
      </c>
      <c r="H24" s="25"/>
      <c r="I24" s="25" t="s">
        <v>158</v>
      </c>
      <c r="J24" s="21">
        <v>1</v>
      </c>
      <c r="K24" s="23">
        <v>70</v>
      </c>
      <c r="L24" s="21">
        <v>1</v>
      </c>
      <c r="M24" s="23">
        <v>32</v>
      </c>
      <c r="O24" s="20" t="str">
        <f>CONCATENATE(CI_!$R$1,C24,", '",D24,"', '",E24,"', '",F24,"' , ",G24," , '",H24,"' , '",I24,"', ",J24,",",K24,",",L24,",",M24)</f>
        <v>EXECUTE [dbo].[PG_CI_SISTEMA_TAG] 139, 21, 'EXCEL_PRODUCTION_REPORT', 'EXCEL PRODUCTION REPORT', '#021' , 21 , '' , '\\10.1.1.5\documents\PEARL\Reportes\Excel Production Report.xlsm', 1,70,1,32</v>
      </c>
      <c r="P24" s="9"/>
    </row>
    <row r="25" spans="1:16" s="8" customFormat="1" x14ac:dyDescent="0.25">
      <c r="A25" s="16"/>
      <c r="B25" s="17">
        <v>139</v>
      </c>
      <c r="C25" s="22">
        <v>22</v>
      </c>
      <c r="D25" s="18" t="s">
        <v>159</v>
      </c>
      <c r="E25" s="18" t="s">
        <v>160</v>
      </c>
      <c r="F25" s="19" t="s">
        <v>165</v>
      </c>
      <c r="G25" s="23">
        <v>22</v>
      </c>
      <c r="H25" s="25"/>
      <c r="I25" s="25" t="s">
        <v>162</v>
      </c>
      <c r="J25" s="21">
        <v>1</v>
      </c>
      <c r="K25" s="23">
        <v>40</v>
      </c>
      <c r="L25" s="21">
        <v>1</v>
      </c>
      <c r="M25" s="23">
        <v>14</v>
      </c>
      <c r="O25" s="20" t="str">
        <f>CONCATENATE(CI_!$R$1,C25,", '",D25,"', '",E25,"', '",F25,"' , ",G25," , '",H25,"' , '",I25,"', ",J25,",",K25,",",L25,",",M25)</f>
        <v>EXECUTE [dbo].[PG_CI_SISTEMA_TAG] 139, 22, 'BELL_CURVE', 'BELL CURVE', '#022' , 22 , '' , '\\10.1.1.5\documents\PEARL\Reportes\Bell_Curve_Report.xls', 1,40,1,14</v>
      </c>
      <c r="P25" s="9"/>
    </row>
    <row r="26" spans="1:16" s="8" customFormat="1" x14ac:dyDescent="0.25">
      <c r="A26" s="16"/>
      <c r="B26" s="17">
        <v>139</v>
      </c>
      <c r="C26" s="22">
        <v>23</v>
      </c>
      <c r="D26" s="18" t="s">
        <v>163</v>
      </c>
      <c r="E26" s="18" t="s">
        <v>164</v>
      </c>
      <c r="F26" s="19" t="s">
        <v>168</v>
      </c>
      <c r="G26" s="23">
        <v>23</v>
      </c>
      <c r="H26" s="25"/>
      <c r="I26" s="25"/>
      <c r="J26" s="21">
        <v>1</v>
      </c>
      <c r="K26" s="23">
        <v>60</v>
      </c>
      <c r="L26" s="21">
        <v>0</v>
      </c>
      <c r="M26" s="23">
        <v>7</v>
      </c>
      <c r="O26" s="20" t="str">
        <f>CONCATENATE(CI_!$R$1,C26,", '",D26,"', '",E26,"', '",F26,"' , ",G26," , '",H26,"' , '",I26,"', ",J26,",",K26,",",L26,",",M26)</f>
        <v>EXECUTE [dbo].[PG_CI_SISTEMA_TAG] 139, 23, 'TransactionsReport', 'TRANSACTION REPORT', '#023' , 23 , '' , '', 1,60,0,7</v>
      </c>
      <c r="P26" s="9"/>
    </row>
    <row r="27" spans="1:16" s="8" customFormat="1" x14ac:dyDescent="0.25">
      <c r="A27" s="16"/>
      <c r="B27" s="17">
        <v>139</v>
      </c>
      <c r="C27" s="22">
        <v>24</v>
      </c>
      <c r="D27" s="18" t="s">
        <v>166</v>
      </c>
      <c r="E27" s="18" t="s">
        <v>167</v>
      </c>
      <c r="F27" s="19" t="s">
        <v>171</v>
      </c>
      <c r="G27" s="23">
        <v>24</v>
      </c>
      <c r="H27" s="25"/>
      <c r="I27" s="25"/>
      <c r="J27" s="21">
        <v>1</v>
      </c>
      <c r="K27" s="23">
        <v>10</v>
      </c>
      <c r="L27" s="21">
        <v>0</v>
      </c>
      <c r="M27" s="23">
        <v>21</v>
      </c>
      <c r="O27" s="20" t="str">
        <f>CONCATENATE(CI_!$R$1,C27,", '",D27,"', '",E27,"', '",F27,"' , ",G27," , '",H27,"' , '",I27,"', ",J27,",",K27,",",L27,",",M27)</f>
        <v>EXECUTE [dbo].[PG_CI_SISTEMA_TAG] 139, 24, 'CERTIFICATION_REPORT', 'CERTIFICATION REPORT', '#024' , 24 , '' , '', 1,10,0,21</v>
      </c>
      <c r="P27" s="9"/>
    </row>
    <row r="28" spans="1:16" s="8" customFormat="1" x14ac:dyDescent="0.25">
      <c r="A28" s="16"/>
      <c r="B28" s="17">
        <v>139</v>
      </c>
      <c r="C28" s="22">
        <v>25</v>
      </c>
      <c r="D28" s="18" t="s">
        <v>169</v>
      </c>
      <c r="E28" s="18" t="s">
        <v>170</v>
      </c>
      <c r="F28" s="19" t="s">
        <v>174</v>
      </c>
      <c r="G28" s="23">
        <v>25</v>
      </c>
      <c r="H28" s="25"/>
      <c r="I28" s="25"/>
      <c r="J28" s="21">
        <v>1</v>
      </c>
      <c r="K28" s="23">
        <v>60</v>
      </c>
      <c r="L28" s="21">
        <v>0</v>
      </c>
      <c r="M28" s="23">
        <v>6</v>
      </c>
      <c r="N28" s="8">
        <v>20</v>
      </c>
      <c r="O28" s="20" t="str">
        <f>CONCATENATE(CI_!$R$1,C28,", '",D28,"', '",E28,"', '",F28,"' , ",G28," , '",H28,"' , '",I28,"', ",J28,",",K28,",",L28,",",M28)</f>
        <v>EXECUTE [dbo].[PG_CI_SISTEMA_TAG] 139, 25, 'FoliosInv', 'FOLIOS INVENTORY', '#025' , 25 , '' , '', 1,60,0,6</v>
      </c>
      <c r="P28" s="9"/>
    </row>
    <row r="29" spans="1:16" s="8" customFormat="1" x14ac:dyDescent="0.25">
      <c r="A29" s="16"/>
      <c r="B29" s="17">
        <v>139</v>
      </c>
      <c r="C29" s="22">
        <v>26</v>
      </c>
      <c r="D29" s="18" t="s">
        <v>172</v>
      </c>
      <c r="E29" s="18" t="s">
        <v>173</v>
      </c>
      <c r="F29" s="19" t="s">
        <v>177</v>
      </c>
      <c r="G29" s="23">
        <v>26</v>
      </c>
      <c r="H29" s="25"/>
      <c r="I29" s="25"/>
      <c r="J29" s="21">
        <v>1</v>
      </c>
      <c r="K29" s="23">
        <v>10</v>
      </c>
      <c r="L29" s="21">
        <v>0</v>
      </c>
      <c r="M29" s="23">
        <v>24</v>
      </c>
      <c r="O29" s="20" t="str">
        <f>CONCATENATE(CI_!$R$1,C29,", '",D29,"', '",E29,"', '",F29,"' , ",G29," , '",H29,"' , '",I29,"', ",J29,",",K29,",",L29,",",M29)</f>
        <v>EXECUTE [dbo].[PG_CI_SISTEMA_TAG] 139, 26, 'QUALITY_REJECTS', 'QUALITY REJECTS', '#026' , 26 , '' , '', 1,10,0,24</v>
      </c>
      <c r="P29" s="9"/>
    </row>
    <row r="30" spans="1:16" s="8" customFormat="1" x14ac:dyDescent="0.25">
      <c r="A30" s="16"/>
      <c r="B30" s="17">
        <v>139</v>
      </c>
      <c r="C30" s="22">
        <v>27</v>
      </c>
      <c r="D30" s="18" t="s">
        <v>175</v>
      </c>
      <c r="E30" s="18" t="s">
        <v>176</v>
      </c>
      <c r="F30" s="19" t="s">
        <v>180</v>
      </c>
      <c r="G30" s="23">
        <v>27</v>
      </c>
      <c r="H30" s="25"/>
      <c r="I30" s="25"/>
      <c r="J30" s="21">
        <v>1</v>
      </c>
      <c r="K30" s="23">
        <v>20</v>
      </c>
      <c r="L30" s="21">
        <v>0</v>
      </c>
      <c r="M30" s="23">
        <v>10</v>
      </c>
      <c r="O30" s="20" t="str">
        <f>CONCATENATE(CI_!$R$1,C30,", '",D30,"', '",E30,"', '",F30,"' , ",G30," , '",H30,"' , '",I30,"', ",J30,",",K30,",",L30,",",M30)</f>
        <v>EXECUTE [dbo].[PG_CI_SISTEMA_TAG] 139, 27, 'PackingSlipMexico', 'PACKING MACOLA', '#027' , 27 , '' , '', 1,20,0,10</v>
      </c>
      <c r="P30" s="9"/>
    </row>
    <row r="31" spans="1:16" s="8" customFormat="1" x14ac:dyDescent="0.25">
      <c r="A31" s="16"/>
      <c r="B31" s="17">
        <v>139</v>
      </c>
      <c r="C31" s="22">
        <v>28</v>
      </c>
      <c r="D31" s="18" t="s">
        <v>178</v>
      </c>
      <c r="E31" s="18" t="s">
        <v>179</v>
      </c>
      <c r="F31" s="19" t="s">
        <v>183</v>
      </c>
      <c r="G31" s="23">
        <v>28</v>
      </c>
      <c r="H31" s="25"/>
      <c r="I31" s="25"/>
      <c r="J31" s="21">
        <v>1</v>
      </c>
      <c r="K31" s="23">
        <v>30</v>
      </c>
      <c r="L31" s="21">
        <v>0</v>
      </c>
      <c r="M31" s="23">
        <v>36</v>
      </c>
      <c r="O31" s="20" t="str">
        <f>CONCATENATE(CI_!$R$1,C31,", '",D31,"', '",E31,"', '",F31,"' , ",G31," , '",H31,"' , '",I31,"', ",J31,",",K31,",",L31,",",M31)</f>
        <v>EXECUTE [dbo].[PG_CI_SISTEMA_TAG] 139, 28, 'Tags', 'TAGS', '#028' , 28 , '' , '', 1,30,0,36</v>
      </c>
      <c r="P31" s="9"/>
    </row>
    <row r="32" spans="1:16" s="8" customFormat="1" x14ac:dyDescent="0.25">
      <c r="A32" s="16"/>
      <c r="B32" s="17">
        <v>139</v>
      </c>
      <c r="C32" s="22">
        <v>29</v>
      </c>
      <c r="D32" s="18" t="s">
        <v>181</v>
      </c>
      <c r="E32" s="18" t="s">
        <v>182</v>
      </c>
      <c r="F32" s="19" t="s">
        <v>186</v>
      </c>
      <c r="G32" s="23">
        <v>29</v>
      </c>
      <c r="H32" s="25"/>
      <c r="I32" s="25"/>
      <c r="J32" s="21">
        <v>1</v>
      </c>
      <c r="K32" s="23">
        <v>30</v>
      </c>
      <c r="L32" s="21">
        <v>0</v>
      </c>
      <c r="M32" s="23">
        <v>38</v>
      </c>
      <c r="O32" s="20" t="str">
        <f>CONCATENATE(CI_!$R$1,C32,", '",D32,"', '",E32,"', '",F32,"' , ",G32," , '",H32,"' , '",I32,"', ",J32,",",K32,",",L32,",",M32)</f>
        <v>EXECUTE [dbo].[PG_CI_SISTEMA_TAG] 139, 29, 'SalesByCust', 'SALES BY CUST', '#029' , 29 , '' , '', 1,30,0,38</v>
      </c>
      <c r="P32" s="9"/>
    </row>
    <row r="33" spans="1:16" s="8" customFormat="1" x14ac:dyDescent="0.25">
      <c r="A33" s="16"/>
      <c r="B33" s="17">
        <v>139</v>
      </c>
      <c r="C33" s="22">
        <v>30</v>
      </c>
      <c r="D33" s="18" t="s">
        <v>184</v>
      </c>
      <c r="E33" s="18" t="s">
        <v>185</v>
      </c>
      <c r="F33" s="19" t="s">
        <v>189</v>
      </c>
      <c r="G33" s="23">
        <v>30</v>
      </c>
      <c r="H33" s="25"/>
      <c r="I33" s="25"/>
      <c r="J33" s="21">
        <v>1</v>
      </c>
      <c r="K33" s="23">
        <v>30</v>
      </c>
      <c r="L33" s="21">
        <v>0</v>
      </c>
      <c r="M33" s="23">
        <v>25</v>
      </c>
      <c r="O33" s="20" t="str">
        <f>CONCATENATE(CI_!$R$1,C33,", '",D33,"', '",E33,"', '",F33,"' , ",G33," , '",H33,"' , '",I33,"', ",J33,",",K33,",",L33,",",M33)</f>
        <v>EXECUTE [dbo].[PG_CI_SISTEMA_TAG] 139, 30, 'PolizaNomina', 'POLIZA DE NOMINA', '#030' , 30 , '' , '', 1,30,0,25</v>
      </c>
      <c r="P33" s="9"/>
    </row>
    <row r="34" spans="1:16" s="8" customFormat="1" x14ac:dyDescent="0.25">
      <c r="A34" s="16"/>
      <c r="B34" s="17">
        <v>139</v>
      </c>
      <c r="C34" s="22">
        <v>31</v>
      </c>
      <c r="D34" s="18" t="s">
        <v>187</v>
      </c>
      <c r="E34" s="18" t="s">
        <v>188</v>
      </c>
      <c r="F34" s="19" t="s">
        <v>192</v>
      </c>
      <c r="G34" s="23">
        <v>31</v>
      </c>
      <c r="H34" s="25"/>
      <c r="I34" s="25"/>
      <c r="J34" s="21">
        <v>1</v>
      </c>
      <c r="K34" s="23">
        <v>60</v>
      </c>
      <c r="L34" s="21">
        <v>0</v>
      </c>
      <c r="M34" s="23">
        <v>15</v>
      </c>
      <c r="O34" s="20" t="str">
        <f>CONCATENATE(CI_!$R$1,C34,", '",D34,"', '",E34,"', '",F34,"' , ",G34," , '",H34,"' , '",I34,"', ",J34,",",K34,",",L34,",",M34)</f>
        <v>EXECUTE [dbo].[PG_CI_SISTEMA_TAG] 139, 31, 'HistoryByPackL', 'HISTORY BY JOB NO', '#031' , 31 , '' , '', 1,60,0,15</v>
      </c>
      <c r="P34" s="9"/>
    </row>
    <row r="35" spans="1:16" s="8" customFormat="1" x14ac:dyDescent="0.25">
      <c r="A35" s="16"/>
      <c r="B35" s="17">
        <v>139</v>
      </c>
      <c r="C35" s="22">
        <v>32</v>
      </c>
      <c r="D35" s="18" t="s">
        <v>190</v>
      </c>
      <c r="E35" s="18" t="s">
        <v>191</v>
      </c>
      <c r="F35" s="19" t="s">
        <v>196</v>
      </c>
      <c r="G35" s="23">
        <v>32</v>
      </c>
      <c r="H35" s="25"/>
      <c r="I35" s="25"/>
      <c r="J35" s="21">
        <v>1</v>
      </c>
      <c r="K35" s="23">
        <v>90</v>
      </c>
      <c r="L35" s="21">
        <v>0</v>
      </c>
      <c r="M35" s="23">
        <v>39</v>
      </c>
      <c r="O35" s="20" t="str">
        <f>CONCATENATE(CI_!$R$1,C35,", '",D35,"', '",E35,"', '",F35,"' , ",G35," , '",H35,"' , '",I35,"', ",J35,",",K35,",",L35,",",M35)</f>
        <v>EXECUTE [dbo].[PG_CI_SISTEMA_TAG] 139, 32, 'PatternsDatabase', 'PATTERN LABELS', '#032' , 32 , '' , '', 1,90,0,39</v>
      </c>
      <c r="P35" s="9"/>
    </row>
    <row r="36" spans="1:16" s="8" customFormat="1" x14ac:dyDescent="0.25">
      <c r="A36" s="16"/>
      <c r="B36" s="17">
        <v>139</v>
      </c>
      <c r="C36" s="22">
        <v>33</v>
      </c>
      <c r="D36" s="18" t="s">
        <v>193</v>
      </c>
      <c r="E36" s="18" t="s">
        <v>193</v>
      </c>
      <c r="F36" s="19" t="s">
        <v>199</v>
      </c>
      <c r="G36" s="23">
        <v>33</v>
      </c>
      <c r="H36" s="25"/>
      <c r="I36" s="25"/>
      <c r="J36" s="21">
        <v>0</v>
      </c>
      <c r="K36" s="23">
        <v>40</v>
      </c>
      <c r="L36" s="21">
        <v>0</v>
      </c>
      <c r="M36" s="23">
        <v>1</v>
      </c>
      <c r="O36" s="20" t="str">
        <f>CONCATENATE(CI_!$R$1,C36,", '",D36,"', '",E36,"', '",F36,"' , ",G36," , '",H36,"' , '",I36,"', ",J36,",",K36,",",L36,",",M36)</f>
        <v>EXECUTE [dbo].[PG_CI_SISTEMA_TAG] 139, 33, 'Leather planning              ', 'Leather planning              ', '#033' , 33 , '' , '', 0,40,0,1</v>
      </c>
      <c r="P36" s="9"/>
    </row>
    <row r="37" spans="1:16" s="8" customFormat="1" x14ac:dyDescent="0.25">
      <c r="A37" s="16"/>
      <c r="B37" s="17">
        <v>139</v>
      </c>
      <c r="C37" s="22">
        <v>34</v>
      </c>
      <c r="D37" s="18" t="s">
        <v>194</v>
      </c>
      <c r="E37" s="18" t="s">
        <v>195</v>
      </c>
      <c r="F37" s="19" t="s">
        <v>202</v>
      </c>
      <c r="G37" s="23">
        <v>34</v>
      </c>
      <c r="H37" s="25"/>
      <c r="I37" s="25"/>
      <c r="J37" s="21">
        <v>1</v>
      </c>
      <c r="K37" s="23">
        <v>60</v>
      </c>
      <c r="L37" s="21">
        <v>0</v>
      </c>
      <c r="M37" s="23">
        <v>7</v>
      </c>
      <c r="O37" s="20" t="str">
        <f>CONCATENATE(CI_!$R$1,C37,", '",D37,"', '",E37,"', '",F37,"' , ",G37," , '",H37,"' , '",I37,"', ",J37,",",K37,",",L37,",",M37)</f>
        <v>EXECUTE [dbo].[PG_CI_SISTEMA_TAG] 139, 34, 'Cum_Report', 'CUMULATIVE REPORT', '#034' , 34 , '' , '', 1,60,0,7</v>
      </c>
      <c r="P37" s="9"/>
    </row>
    <row r="38" spans="1:16" s="8" customFormat="1" x14ac:dyDescent="0.25">
      <c r="A38" s="16"/>
      <c r="B38" s="17">
        <v>139</v>
      </c>
      <c r="C38" s="22">
        <v>35</v>
      </c>
      <c r="D38" s="18" t="s">
        <v>197</v>
      </c>
      <c r="E38" s="18" t="s">
        <v>198</v>
      </c>
      <c r="F38" s="19" t="s">
        <v>208</v>
      </c>
      <c r="G38" s="23">
        <v>35</v>
      </c>
      <c r="H38" s="25"/>
      <c r="I38" s="25"/>
      <c r="J38" s="21">
        <v>1</v>
      </c>
      <c r="K38" s="23">
        <v>10</v>
      </c>
      <c r="L38" s="21">
        <v>0</v>
      </c>
      <c r="M38" s="23">
        <v>27</v>
      </c>
      <c r="O38" s="20" t="str">
        <f>CONCATENATE(CI_!$R$1,C38,", '",D38,"', '",E38,"', '",F38,"' , ",G38," , '",H38,"' , '",I38,"', ",J38,",",K38,",",L38,",",M38)</f>
        <v>EXECUTE [dbo].[PG_CI_SISTEMA_TAG] 139, 35, 'INCOMING_INSPECTION', 'INCOMING INSPECTION', '#035' , 35 , '' , '', 1,10,0,27</v>
      </c>
      <c r="P38" s="9"/>
    </row>
    <row r="39" spans="1:16" s="8" customFormat="1" x14ac:dyDescent="0.25">
      <c r="A39" s="16"/>
      <c r="B39" s="17">
        <v>139</v>
      </c>
      <c r="C39" s="22">
        <v>36</v>
      </c>
      <c r="D39" s="18" t="s">
        <v>200</v>
      </c>
      <c r="E39" s="18" t="s">
        <v>201</v>
      </c>
      <c r="F39" s="19" t="s">
        <v>205</v>
      </c>
      <c r="G39" s="23">
        <v>36</v>
      </c>
      <c r="H39" s="25"/>
      <c r="I39" s="25"/>
      <c r="J39" s="21">
        <v>1</v>
      </c>
      <c r="K39" s="23">
        <v>10</v>
      </c>
      <c r="L39" s="21">
        <v>0</v>
      </c>
      <c r="M39" s="23">
        <v>17</v>
      </c>
      <c r="O39" s="20" t="str">
        <f>CONCATENATE(CI_!$R$1,C39,", '",D39,"', '",E39,"', '",F39,"' , ",G39," , '",H39,"' , '",I39,"', ",J39,",",K39,",",L39,",",M39)</f>
        <v>EXECUTE [dbo].[PG_CI_SISTEMA_TAG] 139, 36, 'STATUS_DE_ORDENES', 'STATUS DE ORDENES', '#036' , 36 , '' , '', 1,10,0,17</v>
      </c>
      <c r="P39" s="9"/>
    </row>
    <row r="40" spans="1:16" s="8" customFormat="1" x14ac:dyDescent="0.25">
      <c r="A40" s="16"/>
      <c r="B40" s="17">
        <v>139</v>
      </c>
      <c r="C40" s="22">
        <v>37</v>
      </c>
      <c r="D40" s="18" t="s">
        <v>203</v>
      </c>
      <c r="E40" s="18" t="s">
        <v>204</v>
      </c>
      <c r="F40" s="19" t="s">
        <v>211</v>
      </c>
      <c r="G40" s="23">
        <v>37</v>
      </c>
      <c r="H40" s="25"/>
      <c r="I40" s="25"/>
      <c r="J40" s="21">
        <v>1</v>
      </c>
      <c r="K40" s="23">
        <v>40</v>
      </c>
      <c r="L40" s="21">
        <v>0</v>
      </c>
      <c r="M40" s="23">
        <v>38</v>
      </c>
      <c r="O40" s="20" t="str">
        <f>CONCATENATE(CI_!$R$1,C40,", '",D40,"', '",E40,"', '",F40,"' , ",G40," , '",H40,"' , '",I40,"', ",J40,",",K40,",",L40,",",M40)</f>
        <v>EXECUTE [dbo].[PG_CI_SISTEMA_TAG] 139, 37, 'UpdateTarget', 'UPDATE TARGETS', '#037' , 37 , '' , '', 1,40,0,38</v>
      </c>
      <c r="P40" s="9"/>
    </row>
    <row r="41" spans="1:16" s="8" customFormat="1" x14ac:dyDescent="0.25">
      <c r="A41" s="16"/>
      <c r="B41" s="17">
        <v>139</v>
      </c>
      <c r="C41" s="22">
        <v>38</v>
      </c>
      <c r="D41" s="18" t="s">
        <v>206</v>
      </c>
      <c r="E41" s="18" t="s">
        <v>207</v>
      </c>
      <c r="F41" s="19" t="s">
        <v>215</v>
      </c>
      <c r="G41" s="23">
        <v>38</v>
      </c>
      <c r="H41" s="25"/>
      <c r="I41" s="25"/>
      <c r="J41" s="21">
        <v>1</v>
      </c>
      <c r="K41" s="23">
        <v>50</v>
      </c>
      <c r="L41" s="21">
        <v>0</v>
      </c>
      <c r="M41" s="23">
        <v>28</v>
      </c>
      <c r="N41" s="8">
        <v>40</v>
      </c>
      <c r="O41" s="20" t="str">
        <f>CONCATENATE(CI_!$R$1,C41,", '",D41,"', '",E41,"', '",F41,"' , ",G41," , '",H41,"' , '",I41,"', ",J41,",",K41,",",L41,",",M41)</f>
        <v>EXECUTE [dbo].[PG_CI_SISTEMA_TAG] 139, 38, 'colors', 'COLORS MANT', '#038' , 38 , '' , '', 1,50,0,28</v>
      </c>
      <c r="P41" s="9"/>
    </row>
    <row r="42" spans="1:16" s="8" customFormat="1" x14ac:dyDescent="0.25">
      <c r="A42" s="16"/>
      <c r="B42" s="17">
        <v>139</v>
      </c>
      <c r="C42" s="22">
        <v>39</v>
      </c>
      <c r="D42" s="18" t="s">
        <v>209</v>
      </c>
      <c r="E42" s="18" t="s">
        <v>210</v>
      </c>
      <c r="F42" s="19" t="s">
        <v>218</v>
      </c>
      <c r="G42" s="23">
        <v>39</v>
      </c>
      <c r="H42" s="25"/>
      <c r="I42" s="25"/>
      <c r="J42" s="21">
        <v>1</v>
      </c>
      <c r="K42" s="23">
        <v>10</v>
      </c>
      <c r="L42" s="21">
        <v>0</v>
      </c>
      <c r="M42" s="23">
        <v>14</v>
      </c>
      <c r="O42" s="20" t="str">
        <f>CONCATENATE(CI_!$R$1,C42,", '",D42,"', '",E42,"', '",F42,"' , ",G42," , '",H42,"' , '",I42,"', ",J42,",",K42,",",L42,",",M42)</f>
        <v>EXECUTE [dbo].[PG_CI_SISTEMA_TAG] 139, 39, 'LOT_COMP', 'LOT COMP', '#039' , 39 , '' , '', 1,10,0,14</v>
      </c>
      <c r="P42" s="9"/>
    </row>
    <row r="43" spans="1:16" s="8" customFormat="1" x14ac:dyDescent="0.25">
      <c r="A43" s="16"/>
      <c r="B43" s="17">
        <v>139</v>
      </c>
      <c r="C43" s="22">
        <v>40</v>
      </c>
      <c r="D43" s="18" t="s">
        <v>212</v>
      </c>
      <c r="E43" s="18" t="s">
        <v>212</v>
      </c>
      <c r="F43" s="19" t="s">
        <v>221</v>
      </c>
      <c r="G43" s="23">
        <v>40</v>
      </c>
      <c r="H43" s="25"/>
      <c r="I43" s="25"/>
      <c r="J43" s="21">
        <v>0</v>
      </c>
      <c r="K43" s="23">
        <v>90</v>
      </c>
      <c r="L43" s="21">
        <v>0</v>
      </c>
      <c r="M43" s="23">
        <v>1</v>
      </c>
      <c r="O43" s="20" t="str">
        <f>CONCATENATE(CI_!$R$1,C43,", '",D43,"', '",E43,"', '",F43,"' , ",G43," , '",H43,"' , '",I43,"', ",J43,",",K43,",",L43,",",M43)</f>
        <v>EXECUTE [dbo].[PG_CI_SISTEMA_TAG] 139, 40, 'INV IT', 'INV IT', '#040' , 40 , '' , '', 0,90,0,1</v>
      </c>
      <c r="P43" s="9"/>
    </row>
    <row r="44" spans="1:16" s="8" customFormat="1" x14ac:dyDescent="0.25">
      <c r="A44" s="16"/>
      <c r="B44" s="17">
        <v>139</v>
      </c>
      <c r="C44" s="22">
        <v>41</v>
      </c>
      <c r="D44" s="18" t="s">
        <v>213</v>
      </c>
      <c r="E44" s="18" t="s">
        <v>214</v>
      </c>
      <c r="F44" s="19" t="s">
        <v>224</v>
      </c>
      <c r="G44" s="23">
        <v>41</v>
      </c>
      <c r="H44" s="25"/>
      <c r="I44" s="25"/>
      <c r="J44" s="21">
        <v>1</v>
      </c>
      <c r="K44" s="23">
        <v>50</v>
      </c>
      <c r="L44" s="21">
        <v>0</v>
      </c>
      <c r="M44" s="23">
        <v>22</v>
      </c>
      <c r="O44" s="20" t="str">
        <f>CONCATENATE(CI_!$R$1,C44,", '",D44,"', '",E44,"', '",F44,"' , ",G44," , '",H44,"' , '",I44,"', ",J44,",",K44,",",L44,",",M44)</f>
        <v>EXECUTE [dbo].[PG_CI_SISTEMA_TAG] 139, 41, 'Eng_main', 'ENGINEERING SCREEN', '#041' , 41 , '' , '', 1,50,0,22</v>
      </c>
      <c r="P44" s="9"/>
    </row>
    <row r="45" spans="1:16" s="8" customFormat="1" x14ac:dyDescent="0.25">
      <c r="A45" s="16"/>
      <c r="B45" s="17">
        <v>139</v>
      </c>
      <c r="C45" s="22">
        <v>42</v>
      </c>
      <c r="D45" s="18" t="s">
        <v>216</v>
      </c>
      <c r="E45" s="18" t="s">
        <v>217</v>
      </c>
      <c r="F45" s="19" t="s">
        <v>227</v>
      </c>
      <c r="G45" s="23">
        <v>42</v>
      </c>
      <c r="H45" s="25"/>
      <c r="I45" s="25"/>
      <c r="J45" s="21">
        <v>1</v>
      </c>
      <c r="K45" s="23">
        <v>50</v>
      </c>
      <c r="L45" s="21">
        <v>0</v>
      </c>
      <c r="M45" s="23">
        <v>10</v>
      </c>
      <c r="O45" s="20" t="str">
        <f>CONCATENATE(CI_!$R$1,C45,", '",D45,"', '",E45,"', '",F45,"' , ",G45," , '",H45,"' , '",I45,"', ",J45,",",K45,",",L45,",",M45)</f>
        <v>EXECUTE [dbo].[PG_CI_SISTEMA_TAG] 139, 42, 'ProdCat', 'PROD CATEGORY', '#042' , 42 , '' , '', 1,50,0,10</v>
      </c>
      <c r="P45" s="9"/>
    </row>
    <row r="46" spans="1:16" s="8" customFormat="1" x14ac:dyDescent="0.25">
      <c r="A46" s="16"/>
      <c r="B46" s="17">
        <v>139</v>
      </c>
      <c r="C46" s="22">
        <v>43</v>
      </c>
      <c r="D46" s="18" t="s">
        <v>219</v>
      </c>
      <c r="E46" s="18" t="s">
        <v>220</v>
      </c>
      <c r="F46" s="19" t="s">
        <v>230</v>
      </c>
      <c r="G46" s="23">
        <v>43</v>
      </c>
      <c r="H46" s="25"/>
      <c r="I46" s="25"/>
      <c r="J46" s="21">
        <v>1</v>
      </c>
      <c r="K46" s="23">
        <v>50</v>
      </c>
      <c r="L46" s="21">
        <v>0</v>
      </c>
      <c r="M46" s="23">
        <v>30</v>
      </c>
      <c r="O46" s="20" t="str">
        <f>CONCATENATE(CI_!$R$1,C46,", '",D46,"', '",E46,"', '",F46,"' , ",G46," , '",H46,"' , '",I46,"', ",J46,",",K46,",",L46,",",M46)</f>
        <v>EXECUTE [dbo].[PG_CI_SISTEMA_TAG] 139, 43, 'ItemMaster', 'ITEM MASTER', '#043' , 43 , '' , '', 1,50,0,30</v>
      </c>
      <c r="P46" s="9"/>
    </row>
    <row r="47" spans="1:16" s="8" customFormat="1" x14ac:dyDescent="0.25">
      <c r="A47" s="16"/>
      <c r="B47" s="17">
        <v>139</v>
      </c>
      <c r="C47" s="22">
        <v>44</v>
      </c>
      <c r="D47" s="18" t="s">
        <v>222</v>
      </c>
      <c r="E47" s="18" t="s">
        <v>223</v>
      </c>
      <c r="F47" s="19" t="s">
        <v>233</v>
      </c>
      <c r="G47" s="23">
        <v>44</v>
      </c>
      <c r="H47" s="25"/>
      <c r="I47" s="25"/>
      <c r="J47" s="21">
        <v>1</v>
      </c>
      <c r="K47" s="23">
        <v>50</v>
      </c>
      <c r="L47" s="21">
        <v>0</v>
      </c>
      <c r="M47" s="23">
        <v>17</v>
      </c>
      <c r="O47" s="20" t="str">
        <f>CONCATENATE(CI_!$R$1,C47,", '",D47,"', '",E47,"', '",F47,"' , ",G47," , '",H47,"' , '",I47,"', ",J47,",",K47,",",L47,",",M47)</f>
        <v>EXECUTE [dbo].[PG_CI_SISTEMA_TAG] 139, 44, 'KitMaster', 'KIT MASTER', '#044' , 44 , '' , '', 1,50,0,17</v>
      </c>
      <c r="P47" s="9"/>
    </row>
    <row r="48" spans="1:16" s="8" customFormat="1" x14ac:dyDescent="0.25">
      <c r="A48" s="16"/>
      <c r="B48" s="17">
        <v>139</v>
      </c>
      <c r="C48" s="22">
        <v>45</v>
      </c>
      <c r="D48" s="18" t="s">
        <v>225</v>
      </c>
      <c r="E48" s="18" t="s">
        <v>226</v>
      </c>
      <c r="F48" s="19" t="s">
        <v>236</v>
      </c>
      <c r="G48" s="23">
        <v>45</v>
      </c>
      <c r="H48" s="25"/>
      <c r="I48" s="25"/>
      <c r="J48" s="21">
        <v>1</v>
      </c>
      <c r="K48" s="23">
        <v>40</v>
      </c>
      <c r="L48" s="21">
        <v>0</v>
      </c>
      <c r="M48" s="23">
        <v>11</v>
      </c>
      <c r="O48" s="20" t="str">
        <f>CONCATENATE(CI_!$R$1,C48,", '",D48,"', '",E48,"', '",F48,"' , ",G48," , '",H48,"' , '",I48,"', ",J48,",",K48,",",L48,",",M48)</f>
        <v>EXECUTE [dbo].[PG_CI_SISTEMA_TAG] 139, 45, 'ADLocations', 'ADD LOCATIONS', '#045' , 45 , '' , '', 1,40,0,11</v>
      </c>
      <c r="P48" s="9"/>
    </row>
    <row r="49" spans="1:16" s="8" customFormat="1" x14ac:dyDescent="0.25">
      <c r="A49" s="16"/>
      <c r="B49" s="17">
        <v>139</v>
      </c>
      <c r="C49" s="22">
        <v>46</v>
      </c>
      <c r="D49" s="18" t="s">
        <v>228</v>
      </c>
      <c r="E49" s="18" t="s">
        <v>229</v>
      </c>
      <c r="F49" s="19" t="s">
        <v>239</v>
      </c>
      <c r="G49" s="23">
        <v>46</v>
      </c>
      <c r="H49" s="25"/>
      <c r="I49" s="25"/>
      <c r="J49" s="21">
        <v>1</v>
      </c>
      <c r="K49" s="23">
        <v>20</v>
      </c>
      <c r="L49" s="21">
        <v>0</v>
      </c>
      <c r="M49" s="23">
        <v>13</v>
      </c>
      <c r="O49" s="20" t="str">
        <f>CONCATENATE(CI_!$R$1,C49,", '",D49,"', '",E49,"', '",F49,"' , ",G49," , '",H49,"' , '",I49,"', ",J49,",",K49,",",L49,",",M49)</f>
        <v>EXECUTE [dbo].[PG_CI_SISTEMA_TAG] 139, 46, 'Facturacion', 'BILLING', '#046' , 46 , '' , '', 1,20,0,13</v>
      </c>
      <c r="P49" s="9"/>
    </row>
    <row r="50" spans="1:16" s="8" customFormat="1" x14ac:dyDescent="0.25">
      <c r="A50" s="16"/>
      <c r="B50" s="17">
        <v>139</v>
      </c>
      <c r="C50" s="22">
        <v>47</v>
      </c>
      <c r="D50" s="18" t="s">
        <v>231</v>
      </c>
      <c r="E50" s="18" t="s">
        <v>232</v>
      </c>
      <c r="F50" s="19" t="s">
        <v>245</v>
      </c>
      <c r="G50" s="23">
        <v>47</v>
      </c>
      <c r="H50" s="25"/>
      <c r="I50" s="25"/>
      <c r="J50" s="21">
        <v>1</v>
      </c>
      <c r="K50" s="23">
        <v>60</v>
      </c>
      <c r="L50" s="21">
        <v>0</v>
      </c>
      <c r="M50" s="23">
        <v>20</v>
      </c>
      <c r="O50" s="20" t="str">
        <f>CONCATENATE(CI_!$R$1,C50,", '",D50,"', '",E50,"', '",F50,"' , ",G50," , '",H50,"' , '",I50,"', ",J50,",",K50,",",L50,",",M50)</f>
        <v>EXECUTE [dbo].[PG_CI_SISTEMA_TAG] 139, 47, 'FoliosV2', 'TRANS_FOLIOS', '#047' , 47 , '' , '', 1,60,0,20</v>
      </c>
      <c r="P50" s="9"/>
    </row>
    <row r="51" spans="1:16" s="8" customFormat="1" x14ac:dyDescent="0.25">
      <c r="A51" s="16"/>
      <c r="B51" s="17">
        <v>139</v>
      </c>
      <c r="C51" s="22">
        <v>48</v>
      </c>
      <c r="D51" s="18" t="s">
        <v>234</v>
      </c>
      <c r="E51" s="18" t="s">
        <v>235</v>
      </c>
      <c r="F51" s="19" t="s">
        <v>248</v>
      </c>
      <c r="G51" s="23">
        <v>48</v>
      </c>
      <c r="H51" s="25"/>
      <c r="I51" s="25"/>
      <c r="J51" s="21">
        <v>1</v>
      </c>
      <c r="K51" s="23">
        <v>20</v>
      </c>
      <c r="L51" s="21">
        <v>0</v>
      </c>
      <c r="M51" s="23">
        <v>7</v>
      </c>
      <c r="O51" s="20" t="str">
        <f>CONCATENATE(CI_!$R$1,C51,", '",D51,"', '",E51,"', '",F51,"' , ",G51," , '",H51,"' , '",I51,"', ",J51,",",K51,",",L51,",",M51)</f>
        <v>EXECUTE [dbo].[PG_CI_SISTEMA_TAG] 139, 48, 'PrintInvoice', 'RE-PRINT INVOICE', '#048' , 48 , '' , '', 1,20,0,7</v>
      </c>
      <c r="P51" s="9"/>
    </row>
    <row r="52" spans="1:16" s="8" customFormat="1" x14ac:dyDescent="0.25">
      <c r="A52" s="16"/>
      <c r="B52" s="17">
        <v>139</v>
      </c>
      <c r="C52" s="22">
        <v>49</v>
      </c>
      <c r="D52" s="18" t="s">
        <v>237</v>
      </c>
      <c r="E52" s="18" t="s">
        <v>238</v>
      </c>
      <c r="F52" s="19" t="s">
        <v>251</v>
      </c>
      <c r="G52" s="23">
        <v>49</v>
      </c>
      <c r="H52" s="25"/>
      <c r="I52" s="25"/>
      <c r="J52" s="21">
        <v>1</v>
      </c>
      <c r="K52" s="23">
        <v>60</v>
      </c>
      <c r="L52" s="21">
        <v>0</v>
      </c>
      <c r="M52" s="23">
        <v>17</v>
      </c>
      <c r="N52" s="8">
        <v>30</v>
      </c>
      <c r="O52" s="20" t="str">
        <f>CONCATENATE(CI_!$R$1,C52,", '",D52,"', '",E52,"', '",F52,"' , ",G52," , '",H52,"' , '",I52,"', ",J52,",",K52,",",L52,",",M52)</f>
        <v>EXECUTE [dbo].[PG_CI_SISTEMA_TAG] 139, 49, 'Fina_Cum_Report', 'CUM REPORT', '#049' , 49 , '' , '', 1,60,0,17</v>
      </c>
      <c r="P52" s="9"/>
    </row>
    <row r="53" spans="1:16" s="8" customFormat="1" x14ac:dyDescent="0.25">
      <c r="A53" s="16"/>
      <c r="B53" s="17">
        <v>139</v>
      </c>
      <c r="C53" s="22">
        <v>50</v>
      </c>
      <c r="D53" s="18" t="s">
        <v>240</v>
      </c>
      <c r="E53" s="18" t="s">
        <v>241</v>
      </c>
      <c r="F53" s="19" t="s">
        <v>242</v>
      </c>
      <c r="G53" s="23">
        <v>50</v>
      </c>
      <c r="H53" s="25"/>
      <c r="I53" s="25"/>
      <c r="J53" s="21">
        <v>1</v>
      </c>
      <c r="K53" s="23">
        <v>60</v>
      </c>
      <c r="L53" s="21">
        <v>0</v>
      </c>
      <c r="M53" s="23">
        <v>0</v>
      </c>
      <c r="O53" s="20" t="str">
        <f>CONCATENATE(CI_!$R$1,C53,", '",D53,"', '",E53,"', '",F53,"' , ",G53," , '",H53,"' , '",I53,"', ",J53,",",K53,",",L53,",",M53)</f>
        <v>EXECUTE [dbo].[PG_CI_SISTEMA_TAG] 139, 50, 'SalidasInventa', 'SALIDAS DE INV', '#050' , 50 , '' , '', 1,60,0,0</v>
      </c>
      <c r="P53" s="9"/>
    </row>
    <row r="54" spans="1:16" s="8" customFormat="1" x14ac:dyDescent="0.25">
      <c r="A54" s="16"/>
      <c r="B54" s="17">
        <v>139</v>
      </c>
      <c r="C54" s="22">
        <v>51</v>
      </c>
      <c r="D54" s="18" t="s">
        <v>243</v>
      </c>
      <c r="E54" s="18" t="s">
        <v>244</v>
      </c>
      <c r="F54" s="19" t="s">
        <v>254</v>
      </c>
      <c r="G54" s="23">
        <v>51</v>
      </c>
      <c r="H54" s="25"/>
      <c r="I54" s="25"/>
      <c r="J54" s="21">
        <v>1</v>
      </c>
      <c r="K54" s="23">
        <v>70</v>
      </c>
      <c r="L54" s="21">
        <v>0</v>
      </c>
      <c r="M54" s="23">
        <v>11</v>
      </c>
      <c r="O54" s="20" t="str">
        <f>CONCATENATE(CI_!$R$1,C54,", '",D54,"', '",E54,"', '",F54,"' , ",G54," , '",H54,"' , '",I54,"', ",J54,",",K54,",",L54,",",M54)</f>
        <v>EXECUTE [dbo].[PG_CI_SISTEMA_TAG] 139, 51, 'frmprddefrpt', 'REPORTE DE DEFECTOS', '#051' , 51 , '' , '', 1,70,0,11</v>
      </c>
      <c r="P54" s="9"/>
    </row>
    <row r="55" spans="1:16" s="8" customFormat="1" x14ac:dyDescent="0.25">
      <c r="A55" s="16"/>
      <c r="B55" s="17">
        <v>139</v>
      </c>
      <c r="C55" s="22">
        <v>52</v>
      </c>
      <c r="D55" s="18" t="s">
        <v>246</v>
      </c>
      <c r="E55" s="18" t="s">
        <v>247</v>
      </c>
      <c r="F55" s="19" t="s">
        <v>257</v>
      </c>
      <c r="G55" s="23">
        <v>52</v>
      </c>
      <c r="H55" s="25"/>
      <c r="I55" s="25"/>
      <c r="J55" s="21">
        <v>1</v>
      </c>
      <c r="K55" s="23">
        <v>70</v>
      </c>
      <c r="L55" s="21">
        <v>0</v>
      </c>
      <c r="M55" s="23">
        <v>38</v>
      </c>
      <c r="O55" s="20" t="str">
        <f>CONCATENATE(CI_!$R$1,C55,", '",D55,"', '",E55,"', '",F55,"' , ",G55," , '",H55,"' , '",I55,"', ",J55,",",K55,",",L55,",",M55)</f>
        <v>EXECUTE [dbo].[PG_CI_SISTEMA_TAG] 139, 52, 'LotsYield', 'LOT YIELD', '#052' , 52 , '' , '', 1,70,0,38</v>
      </c>
      <c r="P55" s="9"/>
    </row>
    <row r="56" spans="1:16" s="8" customFormat="1" x14ac:dyDescent="0.25">
      <c r="A56" s="16"/>
      <c r="B56" s="17">
        <v>139</v>
      </c>
      <c r="C56" s="22">
        <v>53</v>
      </c>
      <c r="D56" s="18" t="s">
        <v>249</v>
      </c>
      <c r="E56" s="18" t="s">
        <v>250</v>
      </c>
      <c r="F56" s="19" t="s">
        <v>260</v>
      </c>
      <c r="G56" s="23">
        <v>53</v>
      </c>
      <c r="H56" s="25"/>
      <c r="I56" s="25"/>
      <c r="J56" s="21">
        <v>1</v>
      </c>
      <c r="K56" s="23">
        <v>40</v>
      </c>
      <c r="L56" s="21">
        <v>0</v>
      </c>
      <c r="M56" s="23">
        <v>26</v>
      </c>
      <c r="O56" s="20" t="str">
        <f>CONCATENATE(CI_!$R$1,C56,", '",D56,"', '",E56,"', '",F56,"' , ",G56," , '",H56,"' , '",I56,"', ",J56,",",K56,",",L56,",",M56)</f>
        <v>EXECUTE [dbo].[PG_CI_SISTEMA_TAG] 139, 53, 'LotTrack', 'LOT TRACK', '#053' , 53 , '' , '', 1,40,0,26</v>
      </c>
      <c r="P56" s="9"/>
    </row>
    <row r="57" spans="1:16" s="8" customFormat="1" x14ac:dyDescent="0.25">
      <c r="A57" s="16"/>
      <c r="B57" s="17">
        <v>139</v>
      </c>
      <c r="C57" s="22">
        <v>54</v>
      </c>
      <c r="D57" s="18" t="s">
        <v>252</v>
      </c>
      <c r="E57" s="18" t="s">
        <v>253</v>
      </c>
      <c r="F57" s="19" t="s">
        <v>263</v>
      </c>
      <c r="G57" s="23">
        <v>54</v>
      </c>
      <c r="H57" s="25"/>
      <c r="I57" s="25"/>
      <c r="J57" s="21">
        <v>1</v>
      </c>
      <c r="K57" s="23">
        <v>90</v>
      </c>
      <c r="L57" s="21">
        <v>0</v>
      </c>
      <c r="M57" s="23">
        <v>57</v>
      </c>
      <c r="O57" s="20" t="str">
        <f>CONCATENATE(CI_!$R$1,C57,", '",D57,"', '",E57,"', '",F57,"' , ",G57," , '",H57,"' , '",I57,"', ",J57,",",K57,",",L57,",",M57)</f>
        <v>EXECUTE [dbo].[PG_CI_SISTEMA_TAG] 139, 54, 'FO_USUARIOS', 'USUARIOS', '#054' , 54 , '' , '', 1,90,0,57</v>
      </c>
      <c r="P57" s="9"/>
    </row>
    <row r="58" spans="1:16" s="8" customFormat="1" x14ac:dyDescent="0.25">
      <c r="A58" s="16"/>
      <c r="B58" s="17">
        <v>139</v>
      </c>
      <c r="C58" s="22">
        <v>55</v>
      </c>
      <c r="D58" s="18" t="s">
        <v>255</v>
      </c>
      <c r="E58" s="18" t="s">
        <v>256</v>
      </c>
      <c r="F58" s="19" t="s">
        <v>266</v>
      </c>
      <c r="G58" s="23">
        <v>55</v>
      </c>
      <c r="H58" s="25"/>
      <c r="I58" s="25"/>
      <c r="J58" s="21">
        <v>1</v>
      </c>
      <c r="K58" s="23">
        <v>90</v>
      </c>
      <c r="L58" s="21">
        <v>0</v>
      </c>
      <c r="M58" s="23">
        <v>58</v>
      </c>
      <c r="O58" s="20" t="str">
        <f>CONCATENATE(CI_!$R$1,C58,", '",D58,"', '",E58,"', '",F58,"' , ",G58," , '",H58,"' , '",I58,"', ",J58,",",K58,",",L58,",",M58)</f>
        <v>EXECUTE [dbo].[PG_CI_SISTEMA_TAG] 139, 55, 'frmmnto', 'MTTO PREVENTIVO', '#055' , 55 , '' , '', 1,90,0,58</v>
      </c>
      <c r="P58" s="9"/>
    </row>
    <row r="59" spans="1:16" s="8" customFormat="1" x14ac:dyDescent="0.25">
      <c r="A59" s="16"/>
      <c r="B59" s="17">
        <v>139</v>
      </c>
      <c r="C59" s="22">
        <v>56</v>
      </c>
      <c r="D59" s="18" t="s">
        <v>258</v>
      </c>
      <c r="E59" s="18" t="s">
        <v>259</v>
      </c>
      <c r="F59" s="19" t="s">
        <v>281</v>
      </c>
      <c r="G59" s="23">
        <v>56</v>
      </c>
      <c r="H59" s="25"/>
      <c r="I59" s="25"/>
      <c r="J59" s="21">
        <v>1</v>
      </c>
      <c r="K59" s="23">
        <v>90</v>
      </c>
      <c r="L59" s="21">
        <v>0</v>
      </c>
      <c r="M59" s="23">
        <v>50</v>
      </c>
      <c r="O59" s="20" t="str">
        <f>CONCATENATE(CI_!$R$1,C59,", '",D59,"', '",E59,"', '",F59,"' , ",G59," , '",H59,"' , '",I59,"', ",J59,",",K59,",",L59,",",M59)</f>
        <v>EXECUTE [dbo].[PG_CI_SISTEMA_TAG] 139, 56, 'frmequipo', 'EQUIPOS', '#056' , 56 , '' , '', 1,90,0,50</v>
      </c>
      <c r="P59" s="9"/>
    </row>
    <row r="60" spans="1:16" s="8" customFormat="1" x14ac:dyDescent="0.25">
      <c r="A60" s="16"/>
      <c r="B60" s="17">
        <v>139</v>
      </c>
      <c r="C60" s="22">
        <v>57</v>
      </c>
      <c r="D60" s="18" t="s">
        <v>261</v>
      </c>
      <c r="E60" s="18" t="s">
        <v>262</v>
      </c>
      <c r="F60" s="19" t="s">
        <v>269</v>
      </c>
      <c r="G60" s="23">
        <v>57</v>
      </c>
      <c r="H60" s="25"/>
      <c r="I60" s="25"/>
      <c r="J60" s="21">
        <v>1</v>
      </c>
      <c r="K60" s="23">
        <v>80</v>
      </c>
      <c r="L60" s="21">
        <v>0</v>
      </c>
      <c r="M60" s="23">
        <v>53</v>
      </c>
      <c r="O60" s="20" t="str">
        <f>CONCATENATE(CI_!$R$1,C60,", '",D60,"', '",E60,"', '",F60,"' , ",G60," , '",H60,"' , '",I60,"', ",J60,",",K60,",",L60,",",M60)</f>
        <v>EXECUTE [dbo].[PG_CI_SISTEMA_TAG] 139, 57, 'frmbajas', 'BAJAS', '#057' , 57 , '' , '', 1,80,0,53</v>
      </c>
      <c r="P60" s="9"/>
    </row>
    <row r="61" spans="1:16" s="8" customFormat="1" x14ac:dyDescent="0.25">
      <c r="A61" s="16"/>
      <c r="B61" s="17">
        <v>139</v>
      </c>
      <c r="C61" s="22">
        <v>58</v>
      </c>
      <c r="D61" s="18" t="s">
        <v>264</v>
      </c>
      <c r="E61" s="18" t="s">
        <v>265</v>
      </c>
      <c r="F61" s="19" t="s">
        <v>272</v>
      </c>
      <c r="G61" s="23">
        <v>58</v>
      </c>
      <c r="H61" s="25"/>
      <c r="I61" s="25"/>
      <c r="J61" s="21">
        <v>1</v>
      </c>
      <c r="K61" s="23">
        <v>80</v>
      </c>
      <c r="L61" s="21">
        <v>0</v>
      </c>
      <c r="M61" s="23">
        <v>51</v>
      </c>
      <c r="O61" s="20" t="str">
        <f>CONCATENATE(CI_!$R$1,C61,", '",D61,"', '",E61,"', '",F61,"' , ",G61," , '",H61,"' , '",I61,"', ",J61,",",K61,",",L61,",",M61)</f>
        <v>EXECUTE [dbo].[PG_CI_SISTEMA_TAG] 139, 58, 'FO_PUESTO', 'CAPACITACIÓN', '#058' , 58 , '' , '', 1,80,0,51</v>
      </c>
      <c r="P61" s="9"/>
    </row>
    <row r="62" spans="1:16" s="8" customFormat="1" x14ac:dyDescent="0.25">
      <c r="A62" s="16"/>
      <c r="B62" s="17">
        <v>139</v>
      </c>
      <c r="C62" s="22">
        <v>59</v>
      </c>
      <c r="D62" s="18" t="s">
        <v>267</v>
      </c>
      <c r="E62" s="18" t="s">
        <v>268</v>
      </c>
      <c r="F62" s="19" t="s">
        <v>278</v>
      </c>
      <c r="G62" s="23">
        <v>59</v>
      </c>
      <c r="H62" s="25"/>
      <c r="I62" s="25"/>
      <c r="J62" s="21">
        <v>1</v>
      </c>
      <c r="K62" s="23">
        <v>90</v>
      </c>
      <c r="L62" s="21">
        <v>0</v>
      </c>
      <c r="M62" s="23">
        <v>56</v>
      </c>
      <c r="O62" s="20" t="str">
        <f>CONCATENATE(CI_!$R$1,C62,", '",D62,"', '",E62,"', '",F62,"' , ",G62," , '",H62,"' , '",I62,"', ",J62,",",K62,",",L62,",",M62)</f>
        <v>EXECUTE [dbo].[PG_CI_SISTEMA_TAG] 139, 59, 'frmtoner', 'TONERS', '#059' , 59 , '' , '', 1,90,0,56</v>
      </c>
      <c r="P62" s="9"/>
    </row>
    <row r="63" spans="1:16" s="8" customFormat="1" x14ac:dyDescent="0.25">
      <c r="A63" s="16"/>
      <c r="B63" s="17">
        <v>139</v>
      </c>
      <c r="C63" s="22">
        <v>60</v>
      </c>
      <c r="D63" s="18" t="s">
        <v>270</v>
      </c>
      <c r="E63" s="18" t="s">
        <v>271</v>
      </c>
      <c r="F63" s="19" t="s">
        <v>275</v>
      </c>
      <c r="G63" s="23">
        <v>60</v>
      </c>
      <c r="H63" s="25"/>
      <c r="I63" s="25"/>
      <c r="J63" s="21">
        <v>1</v>
      </c>
      <c r="K63" s="23">
        <v>20</v>
      </c>
      <c r="L63" s="21">
        <v>0</v>
      </c>
      <c r="M63" s="23">
        <v>53</v>
      </c>
      <c r="O63" s="20" t="str">
        <f>CONCATENATE(CI_!$R$1,C63,", '",D63,"', '",E63,"', '",F63,"' , ",G63," , '",H63,"' , '",I63,"', ",J63,",",K63,",",L63,",",M63)</f>
        <v>EXECUTE [dbo].[PG_CI_SISTEMA_TAG] 139, 60, 'frmKits', 'CERRAR KITS', '#060' , 60 , '' , '', 1,20,0,53</v>
      </c>
      <c r="P63" s="9"/>
    </row>
    <row r="64" spans="1:16" s="8" customFormat="1" x14ac:dyDescent="0.25">
      <c r="A64" s="16"/>
      <c r="B64" s="17">
        <v>139</v>
      </c>
      <c r="C64" s="22">
        <v>61</v>
      </c>
      <c r="D64" s="18" t="s">
        <v>273</v>
      </c>
      <c r="E64" s="18" t="s">
        <v>274</v>
      </c>
      <c r="F64" s="19" t="s">
        <v>284</v>
      </c>
      <c r="G64" s="23">
        <v>61</v>
      </c>
      <c r="H64" s="25"/>
      <c r="I64" s="25"/>
      <c r="J64" s="21">
        <v>1</v>
      </c>
      <c r="K64" s="23">
        <v>80</v>
      </c>
      <c r="L64" s="21">
        <v>0</v>
      </c>
      <c r="M64" s="23">
        <v>53</v>
      </c>
      <c r="O64" s="20" t="str">
        <f>CONCATENATE(CI_!$R$1,C64,", '",D64,"', '",E64,"', '",F64,"' , ",G64," , '",H64,"' , '",I64,"', ",J64,",",K64,",",L64,",",M64)</f>
        <v>EXECUTE [dbo].[PG_CI_SISTEMA_TAG] 139, 61, 'frmreporte', 'REPORTE', '#061' , 61 , '' , '', 1,80,0,53</v>
      </c>
      <c r="P64" s="9"/>
    </row>
    <row r="65" spans="1:16" s="8" customFormat="1" x14ac:dyDescent="0.25">
      <c r="A65" s="16"/>
      <c r="B65" s="17">
        <v>139</v>
      </c>
      <c r="C65" s="22">
        <v>62</v>
      </c>
      <c r="D65" s="18" t="s">
        <v>276</v>
      </c>
      <c r="E65" s="18" t="s">
        <v>277</v>
      </c>
      <c r="F65" s="19" t="s">
        <v>287</v>
      </c>
      <c r="G65" s="23">
        <v>62</v>
      </c>
      <c r="H65" s="25"/>
      <c r="I65" s="25"/>
      <c r="J65" s="21">
        <v>1</v>
      </c>
      <c r="K65" s="23">
        <v>80</v>
      </c>
      <c r="L65" s="21">
        <v>0</v>
      </c>
      <c r="M65" s="23">
        <v>61</v>
      </c>
      <c r="O65" s="20" t="str">
        <f>CONCATENATE(CI_!$R$1,C65,", '",D65,"', '",E65,"', '",F65,"' , ",G65," , '",H65,"' , '",I65,"', ",J65,",",K65,",",L65,",",M65)</f>
        <v>EXECUTE [dbo].[PG_CI_SISTEMA_TAG] 139, 62, 'Frm_Ausentismo', 'AUSENTISMO', '#062' , 62 , '' , '', 1,80,0,61</v>
      </c>
      <c r="P65" s="9"/>
    </row>
    <row r="66" spans="1:16" s="8" customFormat="1" x14ac:dyDescent="0.25">
      <c r="A66" s="16"/>
      <c r="B66" s="17">
        <v>139</v>
      </c>
      <c r="C66" s="22">
        <v>63</v>
      </c>
      <c r="D66" s="18" t="s">
        <v>279</v>
      </c>
      <c r="E66" s="18" t="s">
        <v>280</v>
      </c>
      <c r="F66" s="19" t="s">
        <v>290</v>
      </c>
      <c r="G66" s="23">
        <v>63</v>
      </c>
      <c r="H66" s="25"/>
      <c r="I66" s="25"/>
      <c r="J66" s="21">
        <v>1</v>
      </c>
      <c r="K66" s="23">
        <v>60</v>
      </c>
      <c r="L66" s="21">
        <v>0</v>
      </c>
      <c r="M66" s="23">
        <v>34</v>
      </c>
      <c r="O66" s="20" t="str">
        <f>CONCATENATE(CI_!$R$1,C66,", '",D66,"', '",E66,"', '",F66,"' , ",G66," , '",H66,"' , '",I66,"', ",J66,",",K66,",",L66,",",M66)</f>
        <v>EXECUTE [dbo].[PG_CI_SISTEMA_TAG] 139, 63, 'etiqueta_piel_new', 'HIDE LABELS JL', '#063' , 63 , '' , '', 1,60,0,34</v>
      </c>
      <c r="P66" s="9"/>
    </row>
    <row r="67" spans="1:16" s="8" customFormat="1" x14ac:dyDescent="0.25">
      <c r="A67" s="16"/>
      <c r="B67" s="17">
        <v>139</v>
      </c>
      <c r="C67" s="22">
        <v>64</v>
      </c>
      <c r="D67" s="18" t="s">
        <v>282</v>
      </c>
      <c r="E67" s="18" t="s">
        <v>283</v>
      </c>
      <c r="F67" s="19" t="s">
        <v>293</v>
      </c>
      <c r="G67" s="23">
        <v>64</v>
      </c>
      <c r="H67" s="25"/>
      <c r="I67" s="25"/>
      <c r="J67" s="21">
        <v>1</v>
      </c>
      <c r="K67" s="23">
        <v>30</v>
      </c>
      <c r="L67" s="21">
        <v>0</v>
      </c>
      <c r="M67" s="23">
        <v>38</v>
      </c>
      <c r="O67" s="20" t="str">
        <f>CONCATENATE(CI_!$R$1,C67,", '",D67,"', '",E67,"', '",F67,"' , ",G67," , '",H67,"' , '",I67,"', ",J67,",",K67,",",L67,",",M67)</f>
        <v>EXECUTE [dbo].[PG_CI_SISTEMA_TAG] 139, 64, 'FO_MENU', 'COMPRAS', '#064' , 64 , '' , '', 1,30,0,38</v>
      </c>
      <c r="P67" s="9"/>
    </row>
    <row r="68" spans="1:16" s="8" customFormat="1" x14ac:dyDescent="0.25">
      <c r="A68" s="16"/>
      <c r="B68" s="17">
        <v>139</v>
      </c>
      <c r="C68" s="22">
        <v>65</v>
      </c>
      <c r="D68" s="18" t="s">
        <v>285</v>
      </c>
      <c r="E68" s="18" t="s">
        <v>286</v>
      </c>
      <c r="F68" s="19" t="s">
        <v>296</v>
      </c>
      <c r="G68" s="23">
        <v>65</v>
      </c>
      <c r="H68" s="25"/>
      <c r="I68" s="25"/>
      <c r="J68" s="21">
        <v>1</v>
      </c>
      <c r="K68" s="23">
        <v>60</v>
      </c>
      <c r="L68" s="21">
        <v>0</v>
      </c>
      <c r="M68" s="23">
        <v>53</v>
      </c>
      <c r="O68" s="20" t="str">
        <f>CONCATENATE(CI_!$R$1,C68,", '",D68,"', '",E68,"', '",F68,"' , ",G68," , '",H68,"' , '",I68,"', ",J68,",",K68,",",L68,",",M68)</f>
        <v>EXECUTE [dbo].[PG_CI_SISTEMA_TAG] 139, 65, 'HorseDetail', 'IMPORT HIDES', '#065' , 65 , '' , '', 1,60,0,53</v>
      </c>
      <c r="P68" s="9"/>
    </row>
    <row r="69" spans="1:16" s="8" customFormat="1" x14ac:dyDescent="0.25">
      <c r="A69" s="16"/>
      <c r="B69" s="17">
        <v>139</v>
      </c>
      <c r="C69" s="22">
        <v>66</v>
      </c>
      <c r="D69" s="18" t="s">
        <v>288</v>
      </c>
      <c r="E69" s="18" t="s">
        <v>289</v>
      </c>
      <c r="F69" s="19" t="s">
        <v>299</v>
      </c>
      <c r="G69" s="23">
        <v>66</v>
      </c>
      <c r="H69" s="25"/>
      <c r="I69" s="25"/>
      <c r="J69" s="21">
        <v>1</v>
      </c>
      <c r="K69" s="23">
        <v>80</v>
      </c>
      <c r="L69" s="21">
        <v>0</v>
      </c>
      <c r="M69" s="23">
        <v>61</v>
      </c>
      <c r="O69" s="20" t="str">
        <f>CONCATENATE(CI_!$R$1,C69,", '",D69,"', '",E69,"', '",F69,"' , ",G69," , '",H69,"' , '",I69,"', ",J69,",",K69,",",L69,",",M69)</f>
        <v>EXECUTE [dbo].[PG_CI_SISTEMA_TAG] 139, 66, 'HeadCountRpt', 'HEAD COUNT', '#066' , 66 , '' , '', 1,80,0,61</v>
      </c>
      <c r="P69" s="9"/>
    </row>
    <row r="70" spans="1:16" s="8" customFormat="1" x14ac:dyDescent="0.25">
      <c r="A70" s="16"/>
      <c r="B70" s="17">
        <v>139</v>
      </c>
      <c r="C70" s="22">
        <v>67</v>
      </c>
      <c r="D70" s="18" t="s">
        <v>291</v>
      </c>
      <c r="E70" s="18" t="s">
        <v>292</v>
      </c>
      <c r="F70" s="19" t="s">
        <v>302</v>
      </c>
      <c r="G70" s="23">
        <v>67</v>
      </c>
      <c r="H70" s="25"/>
      <c r="I70" s="25"/>
      <c r="J70" s="21">
        <v>1</v>
      </c>
      <c r="K70" s="23">
        <v>30</v>
      </c>
      <c r="L70" s="21">
        <v>0</v>
      </c>
      <c r="M70" s="23">
        <v>6</v>
      </c>
      <c r="O70" s="20" t="str">
        <f>CONCATENATE(CI_!$R$1,C70,", '",D70,"', '",E70,"', '",F70,"' , ",G70," , '",H70,"' , '",I70,"', ",J70,",",K70,",",L70,",",M70)</f>
        <v>EXECUTE [dbo].[PG_CI_SISTEMA_TAG] 139, 67, 'SalesReports', 'SALES REPORTS', '#067' , 67 , '' , '', 1,30,0,6</v>
      </c>
      <c r="P70" s="9"/>
    </row>
    <row r="71" spans="1:16" s="8" customFormat="1" x14ac:dyDescent="0.25">
      <c r="A71" s="16"/>
      <c r="B71" s="17">
        <v>139</v>
      </c>
      <c r="C71" s="22">
        <v>68</v>
      </c>
      <c r="D71" s="18" t="s">
        <v>294</v>
      </c>
      <c r="E71" s="18" t="s">
        <v>295</v>
      </c>
      <c r="F71" s="19" t="s">
        <v>305</v>
      </c>
      <c r="G71" s="23">
        <v>68</v>
      </c>
      <c r="H71" s="25"/>
      <c r="I71" s="25"/>
      <c r="J71" s="21">
        <v>1</v>
      </c>
      <c r="K71" s="23">
        <v>80</v>
      </c>
      <c r="L71" s="21">
        <v>0</v>
      </c>
      <c r="M71" s="23">
        <v>61</v>
      </c>
      <c r="O71" s="20" t="str">
        <f>CONCATENATE(CI_!$R$1,C71,", '",D71,"', '",E71,"', '",F71,"' , ",G71," , '",H71,"' , '",I71,"', ",J71,",",K71,",",L71,",",M71)</f>
        <v>EXECUTE [dbo].[PG_CI_SISTEMA_TAG] 139, 68, 'Enroll', 'FINGERPRINT', '#068' , 68 , '' , '', 1,80,0,61</v>
      </c>
      <c r="P71" s="9"/>
    </row>
    <row r="72" spans="1:16" s="8" customFormat="1" x14ac:dyDescent="0.25">
      <c r="A72" s="16"/>
      <c r="B72" s="17">
        <v>139</v>
      </c>
      <c r="C72" s="22">
        <v>69</v>
      </c>
      <c r="D72" s="18" t="s">
        <v>297</v>
      </c>
      <c r="E72" s="18" t="s">
        <v>298</v>
      </c>
      <c r="F72" s="19" t="s">
        <v>410</v>
      </c>
      <c r="G72" s="23">
        <v>69</v>
      </c>
      <c r="H72" s="25"/>
      <c r="I72" s="25"/>
      <c r="J72" s="21">
        <v>1</v>
      </c>
      <c r="K72" s="23">
        <v>50</v>
      </c>
      <c r="L72" s="21">
        <v>0</v>
      </c>
      <c r="M72" s="23">
        <v>61</v>
      </c>
      <c r="O72" s="20" t="str">
        <f>CONCATENATE(CI_!$R$1,C72,", '",D72,"', '",E72,"', '",F72,"' , ",G72," , '",H72,"' , '",I72,"', ",J72,",",K72,",",L72,",",M72)</f>
        <v>EXECUTE [dbo].[PG_CI_SISTEMA_TAG] 139, 69, 'Customers', 'CUSTOMERS', '#069' , 69 , '' , '', 1,50,0,61</v>
      </c>
      <c r="P72" s="9"/>
    </row>
    <row r="73" spans="1:16" s="8" customFormat="1" x14ac:dyDescent="0.25">
      <c r="A73" s="16"/>
      <c r="B73" s="17">
        <v>139</v>
      </c>
      <c r="C73" s="22">
        <v>70</v>
      </c>
      <c r="D73" s="18" t="s">
        <v>300</v>
      </c>
      <c r="E73" s="18" t="s">
        <v>301</v>
      </c>
      <c r="F73" s="19" t="s">
        <v>411</v>
      </c>
      <c r="G73" s="23">
        <v>70</v>
      </c>
      <c r="H73" s="25"/>
      <c r="I73" s="25"/>
      <c r="J73" s="21">
        <v>1</v>
      </c>
      <c r="K73" s="23">
        <v>50</v>
      </c>
      <c r="L73" s="21">
        <v>0</v>
      </c>
      <c r="M73" s="23">
        <v>16</v>
      </c>
      <c r="O73" s="20" t="str">
        <f>CONCATENATE(CI_!$R$1,C73,", '",D73,"', '",E73,"', '",F73,"' , ",G73," , '",H73,"' , '",I73,"', ",J73,",",K73,",",L73,",",M73)</f>
        <v>EXECUTE [dbo].[PG_CI_SISTEMA_TAG] 139, 70, 'FO_ENG_QUOTE', 'COTIZACIONES', '#070' , 70 , '' , '', 1,50,0,16</v>
      </c>
      <c r="P73" s="9"/>
    </row>
    <row r="74" spans="1:16" s="8" customFormat="1" x14ac:dyDescent="0.25">
      <c r="A74" s="16"/>
      <c r="B74" s="17">
        <v>139</v>
      </c>
      <c r="C74" s="22">
        <v>71</v>
      </c>
      <c r="D74" s="18" t="s">
        <v>303</v>
      </c>
      <c r="E74" s="18" t="s">
        <v>304</v>
      </c>
      <c r="F74" s="19" t="s">
        <v>412</v>
      </c>
      <c r="G74" s="23">
        <v>71</v>
      </c>
      <c r="H74" s="25"/>
      <c r="I74" s="25"/>
      <c r="J74" s="21">
        <v>1</v>
      </c>
      <c r="K74" s="23">
        <v>90</v>
      </c>
      <c r="L74" s="21">
        <v>0</v>
      </c>
      <c r="M74" s="23">
        <v>16</v>
      </c>
      <c r="O74" s="20" t="str">
        <f>CONCATENATE(CI_!$R$1,C74,", '",D74,"', '",E74,"', '",F74,"' , ",G74," , '",H74,"' , '",I74,"', ",J74,",",K74,",",L74,",",M74)</f>
        <v>EXECUTE [dbo].[PG_CI_SISTEMA_TAG] 139, 71, 'FO_SISTEMAS', 'ALTA DE FORMAS', '#071' , 71 , '' , '', 1,90,0,16</v>
      </c>
      <c r="P74" s="9"/>
    </row>
    <row r="75" spans="1:16" s="8" customFormat="1" x14ac:dyDescent="0.25">
      <c r="A75" s="16"/>
      <c r="B75" s="17"/>
      <c r="C75" s="22"/>
      <c r="D75" s="18"/>
      <c r="E75" s="18"/>
      <c r="F75" s="19"/>
      <c r="G75" s="23"/>
      <c r="H75" s="25"/>
      <c r="I75" s="25"/>
      <c r="J75" s="21"/>
      <c r="K75" s="23"/>
      <c r="L75" s="21"/>
      <c r="M75" s="23"/>
      <c r="O75" s="20"/>
      <c r="P75" s="9"/>
    </row>
    <row r="76" spans="1:16" s="8" customFormat="1" x14ac:dyDescent="0.25">
      <c r="A76" s="16"/>
      <c r="B76" s="17"/>
      <c r="C76" s="22"/>
      <c r="D76" s="18"/>
      <c r="E76" s="18"/>
      <c r="F76" s="19"/>
      <c r="G76" s="23"/>
      <c r="H76" s="25"/>
      <c r="I76" s="25"/>
      <c r="J76" s="21"/>
      <c r="K76" s="23"/>
      <c r="L76" s="21"/>
      <c r="M76" s="23"/>
      <c r="O76" s="20"/>
      <c r="P76" s="9"/>
    </row>
    <row r="77" spans="1:16" s="8" customFormat="1" x14ac:dyDescent="0.25">
      <c r="A77" s="16"/>
      <c r="B77" s="17"/>
      <c r="C77" s="22"/>
      <c r="D77" s="18"/>
      <c r="E77" s="18"/>
      <c r="F77" s="19"/>
      <c r="G77" s="23"/>
      <c r="H77" s="25"/>
      <c r="I77" s="25"/>
      <c r="J77" s="21"/>
      <c r="K77" s="23"/>
      <c r="L77" s="21"/>
      <c r="M77" s="23"/>
      <c r="O77" s="20"/>
      <c r="P77" s="9"/>
    </row>
    <row r="78" spans="1:16" s="8" customFormat="1" x14ac:dyDescent="0.25">
      <c r="A78" s="16"/>
      <c r="B78" s="17"/>
      <c r="C78" s="22"/>
      <c r="D78" s="18"/>
      <c r="E78" s="18"/>
      <c r="F78" s="19"/>
      <c r="G78" s="23"/>
      <c r="H78" s="25"/>
      <c r="I78" s="25"/>
      <c r="J78" s="21"/>
      <c r="K78" s="23"/>
      <c r="L78" s="21"/>
      <c r="M78" s="23"/>
      <c r="O78" s="20"/>
      <c r="P78" s="9"/>
    </row>
    <row r="79" spans="1:16" s="8" customFormat="1" x14ac:dyDescent="0.25">
      <c r="A79" s="16"/>
      <c r="B79" s="17"/>
      <c r="C79" s="22"/>
      <c r="D79" s="18"/>
      <c r="E79" s="18"/>
      <c r="F79" s="19"/>
      <c r="G79" s="23"/>
      <c r="H79" s="25"/>
      <c r="I79" s="25"/>
      <c r="J79" s="21"/>
      <c r="K79" s="23"/>
      <c r="L79" s="21"/>
      <c r="M79" s="23"/>
      <c r="O79" s="20"/>
      <c r="P79" s="9"/>
    </row>
    <row r="80" spans="1:16" s="8" customFormat="1" x14ac:dyDescent="0.25">
      <c r="A80" s="16"/>
      <c r="B80" s="17"/>
      <c r="C80" s="22"/>
      <c r="D80" s="18"/>
      <c r="E80" s="18"/>
      <c r="F80" s="19"/>
      <c r="G80" s="23"/>
      <c r="H80" s="25"/>
      <c r="I80" s="25"/>
      <c r="J80" s="21"/>
      <c r="K80" s="23"/>
      <c r="L80" s="21"/>
      <c r="M80" s="23"/>
      <c r="O80" s="20"/>
      <c r="P80" s="9"/>
    </row>
    <row r="81" spans="1:16" s="8" customFormat="1" x14ac:dyDescent="0.25">
      <c r="A81" s="16"/>
      <c r="B81" s="17"/>
      <c r="C81" s="22"/>
      <c r="D81" s="18"/>
      <c r="E81" s="18"/>
      <c r="F81" s="19"/>
      <c r="G81" s="23"/>
      <c r="H81" s="25"/>
      <c r="I81" s="25"/>
      <c r="J81" s="21"/>
      <c r="K81" s="23"/>
      <c r="L81" s="21"/>
      <c r="M81" s="23"/>
      <c r="O81" s="20"/>
      <c r="P81" s="9"/>
    </row>
    <row r="82" spans="1:16" s="8" customFormat="1" x14ac:dyDescent="0.25">
      <c r="A82" s="16"/>
      <c r="B82" s="17"/>
      <c r="C82" s="22"/>
      <c r="D82" s="18"/>
      <c r="E82" s="18"/>
      <c r="F82" s="19"/>
      <c r="G82" s="23"/>
      <c r="H82" s="25"/>
      <c r="I82" s="25"/>
      <c r="J82" s="21"/>
      <c r="K82" s="23"/>
      <c r="L82" s="21"/>
      <c r="M82" s="23"/>
      <c r="O82" s="20"/>
      <c r="P82" s="9"/>
    </row>
    <row r="83" spans="1:16" s="8" customFormat="1" x14ac:dyDescent="0.25">
      <c r="A83" s="16"/>
      <c r="B83" s="17"/>
      <c r="C83" s="22"/>
      <c r="D83" s="18"/>
      <c r="E83" s="18"/>
      <c r="F83" s="19"/>
      <c r="G83" s="23"/>
      <c r="H83" s="25"/>
      <c r="I83" s="25"/>
      <c r="J83" s="21"/>
      <c r="K83" s="23"/>
      <c r="L83" s="21"/>
      <c r="M83" s="23"/>
      <c r="O83" s="20"/>
      <c r="P83" s="9"/>
    </row>
    <row r="84" spans="1:16" s="8" customFormat="1" x14ac:dyDescent="0.25">
      <c r="A84" s="16"/>
      <c r="B84" s="17"/>
      <c r="C84" s="22"/>
      <c r="D84" s="18"/>
      <c r="E84" s="18"/>
      <c r="F84" s="19"/>
      <c r="G84" s="23"/>
      <c r="H84" s="25"/>
      <c r="I84" s="25"/>
      <c r="J84" s="21"/>
      <c r="K84" s="23"/>
      <c r="L84" s="21"/>
      <c r="M84" s="23"/>
      <c r="O84" s="20"/>
      <c r="P84" s="9"/>
    </row>
    <row r="85" spans="1:16" s="8" customFormat="1" x14ac:dyDescent="0.25">
      <c r="A85" s="16"/>
      <c r="B85" s="17"/>
      <c r="C85" s="22"/>
      <c r="D85" s="18"/>
      <c r="E85" s="18"/>
      <c r="F85" s="19"/>
      <c r="G85" s="23"/>
      <c r="H85" s="25"/>
      <c r="I85" s="25"/>
      <c r="J85" s="21"/>
      <c r="K85" s="23"/>
      <c r="L85" s="21"/>
      <c r="M85" s="23"/>
      <c r="O85" s="20"/>
      <c r="P85" s="9"/>
    </row>
    <row r="86" spans="1:16" s="8" customFormat="1" x14ac:dyDescent="0.25">
      <c r="A86" s="16"/>
      <c r="B86" s="17"/>
      <c r="C86" s="22"/>
      <c r="D86" s="18"/>
      <c r="E86" s="18"/>
      <c r="F86" s="19"/>
      <c r="G86" s="23"/>
      <c r="H86" s="25"/>
      <c r="I86" s="25"/>
      <c r="J86" s="21"/>
      <c r="K86" s="23"/>
      <c r="L86" s="21"/>
      <c r="M86" s="23"/>
      <c r="O86" s="20"/>
      <c r="P86" s="9"/>
    </row>
    <row r="87" spans="1:16" s="8" customFormat="1" x14ac:dyDescent="0.25">
      <c r="A87" s="16"/>
      <c r="B87" s="17"/>
      <c r="C87" s="22"/>
      <c r="D87" s="18"/>
      <c r="E87" s="18"/>
      <c r="F87" s="19"/>
      <c r="G87" s="23"/>
      <c r="H87" s="25"/>
      <c r="I87" s="25"/>
      <c r="J87" s="21"/>
      <c r="K87" s="23"/>
      <c r="L87" s="21"/>
      <c r="M87" s="23"/>
      <c r="O87" s="20"/>
      <c r="P87" s="9"/>
    </row>
    <row r="88" spans="1:16" s="8" customFormat="1" x14ac:dyDescent="0.25">
      <c r="A88" s="16"/>
      <c r="B88" s="17"/>
      <c r="C88" s="22"/>
      <c r="D88" s="18"/>
      <c r="E88" s="18"/>
      <c r="F88" s="19"/>
      <c r="G88" s="23"/>
      <c r="H88" s="25"/>
      <c r="I88" s="25"/>
      <c r="J88" s="21"/>
      <c r="K88" s="23"/>
      <c r="L88" s="21"/>
      <c r="M88" s="23"/>
      <c r="O88" s="20"/>
      <c r="P88" s="9"/>
    </row>
    <row r="89" spans="1:16" s="8" customFormat="1" x14ac:dyDescent="0.25">
      <c r="A89" s="16"/>
      <c r="B89" s="17"/>
      <c r="C89" s="22"/>
      <c r="D89" s="18"/>
      <c r="E89" s="18"/>
      <c r="F89" s="19"/>
      <c r="G89" s="23"/>
      <c r="H89" s="25"/>
      <c r="I89" s="25"/>
      <c r="J89" s="21"/>
      <c r="K89" s="23"/>
      <c r="L89" s="21"/>
      <c r="M89" s="23"/>
      <c r="O89" s="20"/>
      <c r="P89" s="9"/>
    </row>
    <row r="90" spans="1:16" s="8" customFormat="1" x14ac:dyDescent="0.25">
      <c r="A90" s="16"/>
      <c r="B90" s="17"/>
      <c r="C90" s="22"/>
      <c r="D90" s="18"/>
      <c r="E90" s="18"/>
      <c r="F90" s="19"/>
      <c r="G90" s="23"/>
      <c r="H90" s="25"/>
      <c r="I90" s="25"/>
      <c r="J90" s="21"/>
      <c r="K90" s="23"/>
      <c r="L90" s="21"/>
      <c r="M90" s="23"/>
      <c r="O90" s="20"/>
      <c r="P90" s="9"/>
    </row>
    <row r="91" spans="1:16" s="8" customFormat="1" x14ac:dyDescent="0.25">
      <c r="A91" s="16"/>
      <c r="B91" s="17"/>
      <c r="C91" s="22"/>
      <c r="D91" s="18"/>
      <c r="E91" s="18"/>
      <c r="F91" s="19"/>
      <c r="G91" s="23"/>
      <c r="H91" s="25"/>
      <c r="I91" s="25"/>
      <c r="J91" s="21"/>
      <c r="K91" s="23"/>
      <c r="L91" s="21"/>
      <c r="M91" s="23"/>
      <c r="O91" s="20"/>
      <c r="P91" s="9"/>
    </row>
    <row r="92" spans="1:16" s="8" customFormat="1" x14ac:dyDescent="0.25">
      <c r="A92" s="16"/>
      <c r="B92" s="17"/>
      <c r="C92" s="22"/>
      <c r="D92" s="18"/>
      <c r="E92" s="18"/>
      <c r="F92" s="19"/>
      <c r="G92" s="23"/>
      <c r="H92" s="25"/>
      <c r="I92" s="25"/>
      <c r="J92" s="21"/>
      <c r="K92" s="23"/>
      <c r="L92" s="21"/>
      <c r="M92" s="23"/>
      <c r="O92" s="20"/>
      <c r="P92" s="9"/>
    </row>
    <row r="93" spans="1:16" s="8" customFormat="1" x14ac:dyDescent="0.25">
      <c r="A93" s="16"/>
      <c r="B93" s="17"/>
      <c r="C93" s="22"/>
      <c r="D93" s="18"/>
      <c r="E93" s="18"/>
      <c r="F93" s="19"/>
      <c r="G93" s="23"/>
      <c r="H93" s="25"/>
      <c r="I93" s="25"/>
      <c r="J93" s="21"/>
      <c r="K93" s="23"/>
      <c r="L93" s="21"/>
      <c r="M93" s="23"/>
      <c r="O93" s="20"/>
      <c r="P93" s="9"/>
    </row>
    <row r="94" spans="1:16" s="8" customFormat="1" x14ac:dyDescent="0.25">
      <c r="A94" s="16"/>
      <c r="B94" s="17"/>
      <c r="C94" s="22"/>
      <c r="D94" s="18"/>
      <c r="E94" s="18"/>
      <c r="F94" s="19"/>
      <c r="G94" s="23"/>
      <c r="H94" s="25"/>
      <c r="I94" s="25"/>
      <c r="J94" s="21"/>
      <c r="K94" s="23"/>
      <c r="L94" s="21"/>
      <c r="M94" s="23"/>
      <c r="O94" s="20"/>
      <c r="P94" s="9"/>
    </row>
    <row r="95" spans="1:16" s="8" customFormat="1" x14ac:dyDescent="0.25">
      <c r="A95" s="16"/>
      <c r="B95" s="17"/>
      <c r="C95" s="22"/>
      <c r="D95" s="18"/>
      <c r="E95" s="18"/>
      <c r="F95" s="19"/>
      <c r="G95" s="23"/>
      <c r="H95" s="25"/>
      <c r="I95" s="25"/>
      <c r="J95" s="21"/>
      <c r="K95" s="23"/>
      <c r="L95" s="21"/>
      <c r="M95" s="23"/>
      <c r="O95" s="20"/>
      <c r="P95" s="9"/>
    </row>
    <row r="96" spans="1:16" s="8" customFormat="1" x14ac:dyDescent="0.25">
      <c r="A96" s="16"/>
      <c r="B96" s="17"/>
      <c r="C96" s="22"/>
      <c r="D96" s="18"/>
      <c r="E96" s="18"/>
      <c r="F96" s="19"/>
      <c r="G96" s="23"/>
      <c r="H96" s="25"/>
      <c r="I96" s="25"/>
      <c r="J96" s="21"/>
      <c r="K96" s="23"/>
      <c r="L96" s="21"/>
      <c r="M96" s="23"/>
      <c r="O96" s="20"/>
      <c r="P96" s="9"/>
    </row>
    <row r="97" spans="1:16" s="8" customFormat="1" x14ac:dyDescent="0.25">
      <c r="A97" s="16"/>
      <c r="B97" s="17"/>
      <c r="C97" s="22"/>
      <c r="D97" s="18"/>
      <c r="E97" s="18"/>
      <c r="F97" s="19"/>
      <c r="G97" s="23"/>
      <c r="H97" s="25"/>
      <c r="I97" s="25"/>
      <c r="J97" s="21"/>
      <c r="K97" s="23"/>
      <c r="L97" s="21"/>
      <c r="M97" s="23"/>
      <c r="O97" s="20"/>
      <c r="P97" s="9"/>
    </row>
    <row r="98" spans="1:16" s="8" customFormat="1" x14ac:dyDescent="0.25">
      <c r="A98" s="16"/>
      <c r="B98" s="17"/>
      <c r="C98" s="22"/>
      <c r="D98" s="18"/>
      <c r="E98" s="18"/>
      <c r="F98" s="19"/>
      <c r="G98" s="23"/>
      <c r="H98" s="25"/>
      <c r="I98" s="25"/>
      <c r="J98" s="21"/>
      <c r="K98" s="23"/>
      <c r="L98" s="21"/>
      <c r="M98" s="23"/>
      <c r="O98" s="20"/>
      <c r="P98" s="9"/>
    </row>
    <row r="99" spans="1:16" s="8" customFormat="1" x14ac:dyDescent="0.25">
      <c r="A99" s="16"/>
      <c r="B99" s="17"/>
      <c r="C99" s="22"/>
      <c r="D99" s="18"/>
      <c r="E99" s="18"/>
      <c r="F99" s="19"/>
      <c r="G99" s="23"/>
      <c r="H99" s="25"/>
      <c r="I99" s="25"/>
      <c r="J99" s="21"/>
      <c r="K99" s="23"/>
      <c r="L99" s="21"/>
      <c r="M99" s="23"/>
      <c r="O99" s="20"/>
      <c r="P99" s="9"/>
    </row>
    <row r="100" spans="1:16" s="8" customFormat="1" x14ac:dyDescent="0.25">
      <c r="A100" s="16"/>
      <c r="B100" s="17"/>
      <c r="C100" s="22"/>
      <c r="D100" s="18"/>
      <c r="E100" s="18"/>
      <c r="F100" s="19"/>
      <c r="G100" s="23"/>
      <c r="H100" s="25"/>
      <c r="I100" s="25"/>
      <c r="J100" s="21"/>
      <c r="K100" s="23"/>
      <c r="L100" s="21"/>
      <c r="M100" s="23"/>
      <c r="O100" s="20"/>
      <c r="P100" s="9"/>
    </row>
    <row r="101" spans="1:16" s="8" customFormat="1" x14ac:dyDescent="0.25">
      <c r="A101" s="16"/>
      <c r="B101" s="17"/>
      <c r="C101" s="22"/>
      <c r="D101" s="18"/>
      <c r="E101" s="18"/>
      <c r="F101" s="19"/>
      <c r="G101" s="23"/>
      <c r="H101" s="25"/>
      <c r="I101" s="25"/>
      <c r="J101" s="21"/>
      <c r="K101" s="23"/>
      <c r="L101" s="21"/>
      <c r="M101" s="23"/>
      <c r="O101" s="20"/>
      <c r="P101" s="9"/>
    </row>
    <row r="102" spans="1:16" s="8" customFormat="1" x14ac:dyDescent="0.25">
      <c r="A102" s="16"/>
      <c r="B102" s="17"/>
      <c r="C102" s="22"/>
      <c r="D102" s="18"/>
      <c r="E102" s="18"/>
      <c r="F102" s="19"/>
      <c r="G102" s="23"/>
      <c r="H102" s="25"/>
      <c r="I102" s="25"/>
      <c r="J102" s="21"/>
      <c r="K102" s="23"/>
      <c r="L102" s="21"/>
      <c r="M102" s="23"/>
      <c r="O102" s="20"/>
      <c r="P102" s="9"/>
    </row>
    <row r="103" spans="1:16" s="8" customFormat="1" x14ac:dyDescent="0.25">
      <c r="A103" s="16"/>
      <c r="B103" s="17"/>
      <c r="C103" s="22"/>
      <c r="D103" s="18"/>
      <c r="E103" s="18"/>
      <c r="F103" s="19"/>
      <c r="G103" s="23"/>
      <c r="H103" s="25"/>
      <c r="I103" s="25"/>
      <c r="J103" s="21"/>
      <c r="K103" s="23"/>
      <c r="L103" s="21"/>
      <c r="M103" s="23"/>
      <c r="O103" s="20"/>
      <c r="P103" s="9"/>
    </row>
    <row r="104" spans="1:16" s="8" customFormat="1" x14ac:dyDescent="0.25">
      <c r="A104" s="16"/>
      <c r="B104" s="17"/>
      <c r="C104" s="22"/>
      <c r="D104" s="18"/>
      <c r="E104" s="18"/>
      <c r="F104" s="19"/>
      <c r="G104" s="23"/>
      <c r="H104" s="25"/>
      <c r="I104" s="25"/>
      <c r="J104" s="21"/>
      <c r="K104" s="23"/>
      <c r="L104" s="21"/>
      <c r="M104" s="23"/>
      <c r="O104" s="20"/>
      <c r="P104" s="9"/>
    </row>
    <row r="105" spans="1:16" s="8" customFormat="1" x14ac:dyDescent="0.25">
      <c r="A105" s="16"/>
      <c r="B105" s="17"/>
      <c r="C105" s="22"/>
      <c r="D105" s="18"/>
      <c r="E105" s="18"/>
      <c r="F105" s="19"/>
      <c r="G105" s="23"/>
      <c r="H105" s="25"/>
      <c r="I105" s="25"/>
      <c r="J105" s="21"/>
      <c r="K105" s="23"/>
      <c r="L105" s="21"/>
      <c r="M105" s="23"/>
      <c r="O105" s="20"/>
      <c r="P105" s="9"/>
    </row>
    <row r="106" spans="1:16" s="8" customFormat="1" x14ac:dyDescent="0.25">
      <c r="A106" s="16"/>
      <c r="B106" s="17"/>
      <c r="C106" s="22"/>
      <c r="D106" s="18"/>
      <c r="E106" s="18"/>
      <c r="F106" s="19"/>
      <c r="G106" s="23"/>
      <c r="H106" s="25"/>
      <c r="I106" s="25"/>
      <c r="J106" s="21"/>
      <c r="K106" s="23"/>
      <c r="L106" s="21"/>
      <c r="M106" s="23"/>
      <c r="O106" s="20"/>
      <c r="P106" s="9"/>
    </row>
    <row r="107" spans="1:16" s="8" customFormat="1" x14ac:dyDescent="0.25">
      <c r="A107" s="16"/>
      <c r="B107" s="17"/>
      <c r="C107" s="22"/>
      <c r="D107" s="18"/>
      <c r="E107" s="18"/>
      <c r="F107" s="19"/>
      <c r="G107" s="23"/>
      <c r="H107" s="25"/>
      <c r="I107" s="25"/>
      <c r="J107" s="21"/>
      <c r="K107" s="23"/>
      <c r="L107" s="21"/>
      <c r="M107" s="23"/>
      <c r="O107" s="20"/>
      <c r="P107" s="9"/>
    </row>
    <row r="108" spans="1:16" s="8" customFormat="1" x14ac:dyDescent="0.25">
      <c r="A108" s="16"/>
      <c r="B108" s="17"/>
      <c r="C108" s="22"/>
      <c r="D108" s="18"/>
      <c r="E108" s="18"/>
      <c r="F108" s="19"/>
      <c r="G108" s="23"/>
      <c r="H108" s="25"/>
      <c r="I108" s="25"/>
      <c r="J108" s="21"/>
      <c r="K108" s="23"/>
      <c r="L108" s="21"/>
      <c r="M108" s="23"/>
      <c r="O108" s="20"/>
      <c r="P108" s="9"/>
    </row>
    <row r="109" spans="1:16" s="8" customFormat="1" x14ac:dyDescent="0.25">
      <c r="A109" s="16"/>
      <c r="B109" s="17"/>
      <c r="C109" s="22"/>
      <c r="D109" s="18"/>
      <c r="E109" s="18"/>
      <c r="F109" s="19"/>
      <c r="G109" s="23"/>
      <c r="H109" s="25"/>
      <c r="I109" s="25"/>
      <c r="J109" s="21"/>
      <c r="K109" s="23"/>
      <c r="L109" s="21"/>
      <c r="M109" s="23"/>
      <c r="O109" s="20"/>
      <c r="P109" s="9"/>
    </row>
    <row r="110" spans="1:16" s="8" customFormat="1" x14ac:dyDescent="0.25">
      <c r="A110" s="16"/>
      <c r="B110" s="17"/>
      <c r="C110" s="22"/>
      <c r="D110" s="18"/>
      <c r="E110" s="18"/>
      <c r="F110" s="19"/>
      <c r="G110" s="23"/>
      <c r="H110" s="25"/>
      <c r="I110" s="25"/>
      <c r="J110" s="21"/>
      <c r="K110" s="23"/>
      <c r="L110" s="21"/>
      <c r="M110" s="23"/>
      <c r="O110" s="20"/>
      <c r="P110" s="9"/>
    </row>
    <row r="111" spans="1:16" s="8" customFormat="1" x14ac:dyDescent="0.25">
      <c r="A111" s="16"/>
      <c r="B111" s="17"/>
      <c r="C111" s="22"/>
      <c r="D111" s="18"/>
      <c r="E111" s="18"/>
      <c r="F111" s="19"/>
      <c r="G111" s="23"/>
      <c r="H111" s="25"/>
      <c r="I111" s="25"/>
      <c r="J111" s="21"/>
      <c r="K111" s="23"/>
      <c r="L111" s="21"/>
      <c r="M111" s="23"/>
      <c r="O111" s="20"/>
      <c r="P111" s="9"/>
    </row>
    <row r="112" spans="1:16" s="8" customFormat="1" x14ac:dyDescent="0.25">
      <c r="A112" s="16"/>
      <c r="B112" s="17"/>
      <c r="C112" s="22"/>
      <c r="D112" s="18"/>
      <c r="E112" s="18"/>
      <c r="F112" s="19"/>
      <c r="G112" s="23"/>
      <c r="H112" s="25"/>
      <c r="I112" s="25"/>
      <c r="J112" s="21"/>
      <c r="K112" s="23"/>
      <c r="L112" s="21"/>
      <c r="M112" s="23"/>
      <c r="O112" s="20"/>
      <c r="P112" s="9"/>
    </row>
    <row r="113" spans="1:16" s="8" customFormat="1" x14ac:dyDescent="0.25">
      <c r="A113" s="16"/>
      <c r="B113" s="17"/>
      <c r="C113" s="22"/>
      <c r="D113" s="18"/>
      <c r="E113" s="18"/>
      <c r="F113" s="19"/>
      <c r="G113" s="23"/>
      <c r="H113" s="25"/>
      <c r="I113" s="25"/>
      <c r="J113" s="21"/>
      <c r="K113" s="23"/>
      <c r="L113" s="21"/>
      <c r="M113" s="23"/>
      <c r="O113" s="20"/>
      <c r="P113" s="9"/>
    </row>
    <row r="114" spans="1:16" s="8" customFormat="1" x14ac:dyDescent="0.25">
      <c r="A114" s="16"/>
      <c r="B114" s="17"/>
      <c r="C114" s="22"/>
      <c r="D114" s="18"/>
      <c r="E114" s="18"/>
      <c r="F114" s="19"/>
      <c r="G114" s="23"/>
      <c r="H114" s="25"/>
      <c r="I114" s="25"/>
      <c r="J114" s="21"/>
      <c r="K114" s="23"/>
      <c r="L114" s="21"/>
      <c r="M114" s="23"/>
      <c r="O114" s="20"/>
      <c r="P114" s="9"/>
    </row>
    <row r="115" spans="1:16" s="8" customFormat="1" x14ac:dyDescent="0.25">
      <c r="A115" s="16"/>
      <c r="B115" s="17"/>
      <c r="C115" s="22"/>
      <c r="D115" s="18"/>
      <c r="E115" s="18"/>
      <c r="F115" s="19"/>
      <c r="G115" s="23"/>
      <c r="H115" s="25"/>
      <c r="I115" s="25"/>
      <c r="J115" s="21"/>
      <c r="K115" s="23"/>
      <c r="L115" s="21"/>
      <c r="M115" s="23"/>
      <c r="O115" s="20"/>
      <c r="P115" s="9"/>
    </row>
    <row r="116" spans="1:16" s="8" customFormat="1" x14ac:dyDescent="0.25">
      <c r="A116" s="16"/>
      <c r="B116" s="17"/>
      <c r="C116" s="22"/>
      <c r="D116" s="18"/>
      <c r="E116" s="18"/>
      <c r="F116" s="19"/>
      <c r="G116" s="23"/>
      <c r="H116" s="25"/>
      <c r="I116" s="25"/>
      <c r="J116" s="21"/>
      <c r="K116" s="23"/>
      <c r="L116" s="21"/>
      <c r="M116" s="23"/>
      <c r="O116" s="20"/>
      <c r="P116" s="9"/>
    </row>
    <row r="117" spans="1:16" s="8" customFormat="1" x14ac:dyDescent="0.25">
      <c r="A117" s="16"/>
      <c r="B117" s="17"/>
      <c r="C117" s="22"/>
      <c r="D117" s="18"/>
      <c r="E117" s="18"/>
      <c r="F117" s="19"/>
      <c r="G117" s="23"/>
      <c r="H117" s="25"/>
      <c r="I117" s="25"/>
      <c r="J117" s="21"/>
      <c r="K117" s="23"/>
      <c r="L117" s="21"/>
      <c r="M117" s="23"/>
      <c r="O117" s="20"/>
      <c r="P117" s="9"/>
    </row>
    <row r="118" spans="1:16" s="8" customFormat="1" x14ac:dyDescent="0.25">
      <c r="A118" s="16"/>
      <c r="B118" s="17"/>
      <c r="C118" s="22"/>
      <c r="D118" s="18"/>
      <c r="E118" s="18"/>
      <c r="F118" s="19"/>
      <c r="G118" s="23"/>
      <c r="H118" s="25"/>
      <c r="I118" s="25"/>
      <c r="J118" s="21"/>
      <c r="K118" s="23"/>
      <c r="L118" s="21"/>
      <c r="M118" s="23"/>
      <c r="O118" s="20"/>
      <c r="P118" s="9"/>
    </row>
    <row r="119" spans="1:16" s="8" customFormat="1" x14ac:dyDescent="0.25">
      <c r="A119" s="16"/>
      <c r="B119" s="17"/>
      <c r="C119" s="22"/>
      <c r="D119" s="18"/>
      <c r="E119" s="18"/>
      <c r="F119" s="19"/>
      <c r="G119" s="23"/>
      <c r="H119" s="25"/>
      <c r="I119" s="25"/>
      <c r="J119" s="21"/>
      <c r="K119" s="23"/>
      <c r="L119" s="21"/>
      <c r="M119" s="23"/>
      <c r="O119" s="20"/>
      <c r="P119" s="9"/>
    </row>
    <row r="120" spans="1:16" s="8" customFormat="1" x14ac:dyDescent="0.25">
      <c r="A120" s="16"/>
      <c r="B120" s="17"/>
      <c r="C120" s="22"/>
      <c r="D120" s="18"/>
      <c r="E120" s="18"/>
      <c r="F120" s="19"/>
      <c r="G120" s="23"/>
      <c r="H120" s="25"/>
      <c r="I120" s="25"/>
      <c r="J120" s="21"/>
      <c r="K120" s="23"/>
      <c r="L120" s="21"/>
      <c r="M120" s="23"/>
      <c r="O120" s="20"/>
      <c r="P120" s="9"/>
    </row>
    <row r="121" spans="1:16" s="8" customFormat="1" x14ac:dyDescent="0.25">
      <c r="A121" s="16"/>
      <c r="B121" s="17"/>
      <c r="C121" s="22"/>
      <c r="D121" s="18"/>
      <c r="E121" s="18"/>
      <c r="F121" s="19"/>
      <c r="G121" s="23"/>
      <c r="H121" s="25"/>
      <c r="I121" s="25"/>
      <c r="J121" s="21"/>
      <c r="K121" s="23"/>
      <c r="L121" s="21"/>
      <c r="M121" s="23"/>
      <c r="O121" s="20"/>
      <c r="P121" s="9"/>
    </row>
    <row r="122" spans="1:16" s="8" customFormat="1" x14ac:dyDescent="0.25">
      <c r="A122" s="16"/>
      <c r="B122" s="17"/>
      <c r="C122" s="22"/>
      <c r="D122" s="18"/>
      <c r="E122" s="18"/>
      <c r="F122" s="19"/>
      <c r="G122" s="23"/>
      <c r="H122" s="25"/>
      <c r="I122" s="25"/>
      <c r="J122" s="21"/>
      <c r="K122" s="23"/>
      <c r="L122" s="21"/>
      <c r="M122" s="23"/>
      <c r="O122" s="20"/>
      <c r="P122" s="9"/>
    </row>
    <row r="123" spans="1:16" s="8" customFormat="1" x14ac:dyDescent="0.25">
      <c r="A123" s="16"/>
      <c r="B123" s="17"/>
      <c r="C123" s="22"/>
      <c r="D123" s="18"/>
      <c r="E123" s="18"/>
      <c r="F123" s="19"/>
      <c r="G123" s="23"/>
      <c r="H123" s="25"/>
      <c r="I123" s="25"/>
      <c r="J123" s="21"/>
      <c r="K123" s="23"/>
      <c r="L123" s="21"/>
      <c r="M123" s="23"/>
      <c r="O123" s="20"/>
      <c r="P123" s="9"/>
    </row>
    <row r="124" spans="1:16" s="8" customFormat="1" x14ac:dyDescent="0.25">
      <c r="A124" s="16"/>
      <c r="B124" s="17"/>
      <c r="C124" s="22"/>
      <c r="D124" s="18"/>
      <c r="E124" s="18"/>
      <c r="F124" s="19"/>
      <c r="G124" s="23"/>
      <c r="H124" s="25"/>
      <c r="I124" s="25"/>
      <c r="J124" s="21"/>
      <c r="K124" s="23"/>
      <c r="L124" s="21"/>
      <c r="M124" s="23"/>
      <c r="O124" s="20"/>
      <c r="P124" s="9"/>
    </row>
    <row r="125" spans="1:16" s="8" customFormat="1" x14ac:dyDescent="0.25">
      <c r="A125" s="16"/>
      <c r="B125" s="17"/>
      <c r="C125" s="22"/>
      <c r="D125" s="18"/>
      <c r="E125" s="18"/>
      <c r="F125" s="19"/>
      <c r="G125" s="23"/>
      <c r="H125" s="25"/>
      <c r="I125" s="25"/>
      <c r="J125" s="21"/>
      <c r="K125" s="23"/>
      <c r="L125" s="21"/>
      <c r="M125" s="23"/>
      <c r="O125" s="20"/>
      <c r="P125" s="9"/>
    </row>
    <row r="126" spans="1:16" s="8" customFormat="1" x14ac:dyDescent="0.25">
      <c r="A126" s="16"/>
      <c r="B126" s="17"/>
      <c r="C126" s="22"/>
      <c r="D126" s="18"/>
      <c r="E126" s="18"/>
      <c r="F126" s="19"/>
      <c r="G126" s="23"/>
      <c r="H126" s="25"/>
      <c r="I126" s="25"/>
      <c r="J126" s="21"/>
      <c r="K126" s="23"/>
      <c r="L126" s="21"/>
      <c r="M126" s="23"/>
      <c r="O126" s="20"/>
      <c r="P126" s="9"/>
    </row>
    <row r="127" spans="1:16" s="8" customFormat="1" x14ac:dyDescent="0.25">
      <c r="A127" s="16"/>
      <c r="B127" s="17"/>
      <c r="C127" s="22"/>
      <c r="D127" s="18"/>
      <c r="E127" s="18"/>
      <c r="F127" s="19"/>
      <c r="G127" s="23"/>
      <c r="H127" s="25"/>
      <c r="I127" s="25"/>
      <c r="J127" s="21"/>
      <c r="K127" s="23"/>
      <c r="L127" s="21"/>
      <c r="M127" s="23"/>
      <c r="O127" s="20"/>
      <c r="P127" s="9"/>
    </row>
    <row r="128" spans="1:16" s="8" customFormat="1" x14ac:dyDescent="0.25">
      <c r="A128" s="16"/>
      <c r="B128" s="17"/>
      <c r="C128" s="22"/>
      <c r="D128" s="18"/>
      <c r="E128" s="18"/>
      <c r="F128" s="19"/>
      <c r="G128" s="23"/>
      <c r="H128" s="25"/>
      <c r="I128" s="25"/>
      <c r="J128" s="21"/>
      <c r="K128" s="23"/>
      <c r="L128" s="21"/>
      <c r="M128" s="23"/>
      <c r="O128" s="20"/>
      <c r="P128" s="9"/>
    </row>
    <row r="129" spans="1:16" s="8" customFormat="1" x14ac:dyDescent="0.25">
      <c r="A129" s="16"/>
      <c r="B129" s="17"/>
      <c r="C129" s="22"/>
      <c r="D129" s="18"/>
      <c r="E129" s="18"/>
      <c r="F129" s="19"/>
      <c r="G129" s="23"/>
      <c r="H129" s="25"/>
      <c r="I129" s="25"/>
      <c r="J129" s="21"/>
      <c r="K129" s="23"/>
      <c r="L129" s="21"/>
      <c r="M129" s="23"/>
      <c r="O129" s="20"/>
      <c r="P129" s="9"/>
    </row>
    <row r="130" spans="1:16" s="8" customFormat="1" x14ac:dyDescent="0.25">
      <c r="A130" s="16"/>
      <c r="B130" s="17"/>
      <c r="C130" s="22"/>
      <c r="D130" s="18"/>
      <c r="E130" s="18"/>
      <c r="F130" s="19"/>
      <c r="G130" s="23"/>
      <c r="H130" s="25"/>
      <c r="I130" s="25"/>
      <c r="J130" s="21"/>
      <c r="K130" s="23"/>
      <c r="L130" s="21"/>
      <c r="M130" s="23"/>
      <c r="O130" s="20"/>
      <c r="P130" s="9"/>
    </row>
    <row r="131" spans="1:16" s="8" customFormat="1" x14ac:dyDescent="0.25">
      <c r="A131" s="16"/>
      <c r="B131" s="17"/>
      <c r="C131" s="22"/>
      <c r="D131" s="18"/>
      <c r="E131" s="18"/>
      <c r="F131" s="19"/>
      <c r="G131" s="23"/>
      <c r="H131" s="25"/>
      <c r="I131" s="25"/>
      <c r="J131" s="21"/>
      <c r="K131" s="23"/>
      <c r="L131" s="21"/>
      <c r="M131" s="23"/>
      <c r="O131" s="20"/>
      <c r="P131" s="9"/>
    </row>
    <row r="132" spans="1:16" s="8" customFormat="1" x14ac:dyDescent="0.25">
      <c r="A132" s="16"/>
      <c r="B132" s="17"/>
      <c r="C132" s="22"/>
      <c r="D132" s="18"/>
      <c r="E132" s="18"/>
      <c r="F132" s="19"/>
      <c r="G132" s="23"/>
      <c r="H132" s="25"/>
      <c r="I132" s="25"/>
      <c r="J132" s="21"/>
      <c r="K132" s="23"/>
      <c r="L132" s="21"/>
      <c r="M132" s="23"/>
      <c r="O132" s="20"/>
      <c r="P132" s="9"/>
    </row>
    <row r="133" spans="1:16" s="8" customFormat="1" x14ac:dyDescent="0.25">
      <c r="A133" s="16"/>
      <c r="B133" s="17"/>
      <c r="C133" s="22"/>
      <c r="D133" s="18"/>
      <c r="E133" s="18"/>
      <c r="F133" s="19"/>
      <c r="G133" s="23"/>
      <c r="H133" s="25"/>
      <c r="I133" s="25"/>
      <c r="J133" s="21"/>
      <c r="K133" s="23"/>
      <c r="L133" s="21"/>
      <c r="M133" s="23"/>
      <c r="O133" s="20"/>
      <c r="P133" s="9"/>
    </row>
    <row r="134" spans="1:16" s="8" customFormat="1" x14ac:dyDescent="0.25">
      <c r="A134" s="16"/>
      <c r="B134" s="17"/>
      <c r="C134" s="22"/>
      <c r="D134" s="18"/>
      <c r="E134" s="18"/>
      <c r="F134" s="19"/>
      <c r="G134" s="23"/>
      <c r="H134" s="25"/>
      <c r="I134" s="25"/>
      <c r="J134" s="21"/>
      <c r="K134" s="23"/>
      <c r="L134" s="21"/>
      <c r="M134" s="23"/>
      <c r="O134" s="20"/>
      <c r="P134" s="9"/>
    </row>
    <row r="135" spans="1:16" s="8" customFormat="1" x14ac:dyDescent="0.25">
      <c r="A135" s="16"/>
      <c r="B135" s="17"/>
      <c r="C135" s="22"/>
      <c r="D135" s="18"/>
      <c r="E135" s="18"/>
      <c r="F135" s="19"/>
      <c r="G135" s="23"/>
      <c r="H135" s="25"/>
      <c r="I135" s="25"/>
      <c r="J135" s="21"/>
      <c r="K135" s="23"/>
      <c r="L135" s="21"/>
      <c r="M135" s="23"/>
      <c r="O135" s="20"/>
      <c r="P135" s="9"/>
    </row>
    <row r="136" spans="1:16" s="8" customFormat="1" x14ac:dyDescent="0.25">
      <c r="A136" s="16"/>
      <c r="B136" s="17"/>
      <c r="C136" s="22"/>
      <c r="D136" s="18"/>
      <c r="E136" s="18"/>
      <c r="F136" s="19"/>
      <c r="G136" s="23"/>
      <c r="H136" s="25"/>
      <c r="I136" s="25"/>
      <c r="J136" s="21"/>
      <c r="K136" s="23"/>
      <c r="L136" s="21"/>
      <c r="M136" s="23"/>
      <c r="O136" s="20"/>
      <c r="P136" s="9"/>
    </row>
    <row r="137" spans="1:16" s="8" customFormat="1" x14ac:dyDescent="0.25">
      <c r="A137" s="16"/>
      <c r="B137" s="17"/>
      <c r="C137" s="22"/>
      <c r="D137" s="18"/>
      <c r="E137" s="18"/>
      <c r="F137" s="19"/>
      <c r="G137" s="23"/>
      <c r="H137" s="25"/>
      <c r="I137" s="25"/>
      <c r="J137" s="21"/>
      <c r="K137" s="23"/>
      <c r="L137" s="21"/>
      <c r="M137" s="23"/>
      <c r="O137" s="20"/>
      <c r="P137" s="9"/>
    </row>
    <row r="138" spans="1:16" s="8" customFormat="1" x14ac:dyDescent="0.25">
      <c r="A138" s="16"/>
      <c r="B138" s="17"/>
      <c r="C138" s="22"/>
      <c r="D138" s="18"/>
      <c r="E138" s="18"/>
      <c r="F138" s="19"/>
      <c r="G138" s="23"/>
      <c r="H138" s="25"/>
      <c r="I138" s="25"/>
      <c r="J138" s="21"/>
      <c r="K138" s="23"/>
      <c r="L138" s="21"/>
      <c r="M138" s="23"/>
      <c r="O138" s="20"/>
      <c r="P138" s="9"/>
    </row>
    <row r="139" spans="1:16" s="8" customFormat="1" x14ac:dyDescent="0.25">
      <c r="A139" s="16"/>
      <c r="B139" s="17"/>
      <c r="C139" s="22"/>
      <c r="D139" s="18"/>
      <c r="E139" s="18"/>
      <c r="F139" s="19"/>
      <c r="G139" s="23"/>
      <c r="H139" s="25"/>
      <c r="I139" s="25"/>
      <c r="J139" s="21"/>
      <c r="K139" s="23"/>
      <c r="L139" s="21"/>
      <c r="M139" s="23"/>
      <c r="O139" s="20"/>
      <c r="P139" s="9"/>
    </row>
    <row r="140" spans="1:16" s="8" customFormat="1" x14ac:dyDescent="0.25">
      <c r="A140" s="16"/>
      <c r="B140" s="17"/>
      <c r="C140" s="22"/>
      <c r="D140" s="18"/>
      <c r="E140" s="18"/>
      <c r="F140" s="19"/>
      <c r="G140" s="23"/>
      <c r="H140" s="25"/>
      <c r="I140" s="25"/>
      <c r="J140" s="21"/>
      <c r="K140" s="23"/>
      <c r="L140" s="21"/>
      <c r="M140" s="23"/>
      <c r="O140" s="20"/>
      <c r="P140" s="9"/>
    </row>
    <row r="141" spans="1:16" s="8" customFormat="1" x14ac:dyDescent="0.25">
      <c r="A141" s="16"/>
      <c r="B141" s="17"/>
      <c r="C141" s="22"/>
      <c r="D141" s="18"/>
      <c r="E141" s="18"/>
      <c r="F141" s="19"/>
      <c r="G141" s="23"/>
      <c r="H141" s="25"/>
      <c r="I141" s="25"/>
      <c r="J141" s="21"/>
      <c r="K141" s="23"/>
      <c r="L141" s="21"/>
      <c r="M141" s="23"/>
      <c r="O141" s="20"/>
      <c r="P141" s="9"/>
    </row>
    <row r="142" spans="1:16" s="8" customFormat="1" x14ac:dyDescent="0.25">
      <c r="A142" s="16"/>
      <c r="B142" s="17"/>
      <c r="C142" s="22"/>
      <c r="D142" s="18"/>
      <c r="E142" s="18"/>
      <c r="F142" s="19"/>
      <c r="G142" s="23"/>
      <c r="H142" s="25"/>
      <c r="I142" s="25"/>
      <c r="J142" s="21"/>
      <c r="K142" s="23"/>
      <c r="L142" s="21"/>
      <c r="M142" s="23"/>
      <c r="O142" s="20"/>
      <c r="P142" s="9"/>
    </row>
    <row r="143" spans="1:16" s="8" customFormat="1" x14ac:dyDescent="0.25">
      <c r="A143" s="16"/>
      <c r="B143" s="17"/>
      <c r="C143" s="22"/>
      <c r="D143" s="18"/>
      <c r="E143" s="18"/>
      <c r="F143" s="19"/>
      <c r="G143" s="23"/>
      <c r="H143" s="25"/>
      <c r="I143" s="25"/>
      <c r="J143" s="21"/>
      <c r="K143" s="23"/>
      <c r="L143" s="21"/>
      <c r="M143" s="23"/>
      <c r="O143" s="20"/>
      <c r="P143" s="9"/>
    </row>
    <row r="144" spans="1:16" s="8" customFormat="1" x14ac:dyDescent="0.25">
      <c r="A144" s="16"/>
      <c r="B144" s="17"/>
      <c r="C144" s="22"/>
      <c r="D144" s="18"/>
      <c r="E144" s="18"/>
      <c r="F144" s="19"/>
      <c r="G144" s="23"/>
      <c r="H144" s="25"/>
      <c r="I144" s="25"/>
      <c r="J144" s="21"/>
      <c r="K144" s="23"/>
      <c r="L144" s="21"/>
      <c r="M144" s="23"/>
      <c r="O144" s="20"/>
      <c r="P144" s="9"/>
    </row>
    <row r="145" spans="1:16" s="8" customFormat="1" x14ac:dyDescent="0.25">
      <c r="A145" s="16"/>
      <c r="B145" s="17"/>
      <c r="C145" s="22"/>
      <c r="D145" s="18"/>
      <c r="E145" s="18"/>
      <c r="F145" s="19"/>
      <c r="G145" s="23"/>
      <c r="H145" s="25"/>
      <c r="I145" s="25"/>
      <c r="J145" s="21"/>
      <c r="K145" s="23"/>
      <c r="L145" s="21"/>
      <c r="M145" s="23"/>
      <c r="O145" s="20"/>
      <c r="P145" s="9"/>
    </row>
    <row r="146" spans="1:16" s="8" customFormat="1" x14ac:dyDescent="0.25">
      <c r="A146" s="16"/>
      <c r="B146" s="17"/>
      <c r="C146" s="22"/>
      <c r="D146" s="18"/>
      <c r="E146" s="18"/>
      <c r="F146" s="19"/>
      <c r="G146" s="23"/>
      <c r="H146" s="25"/>
      <c r="I146" s="25"/>
      <c r="J146" s="21"/>
      <c r="K146" s="23"/>
      <c r="L146" s="21"/>
      <c r="M146" s="23"/>
      <c r="O146" s="20"/>
      <c r="P146" s="9"/>
    </row>
    <row r="147" spans="1:16" s="8" customFormat="1" x14ac:dyDescent="0.25">
      <c r="A147" s="16"/>
      <c r="B147" s="17"/>
      <c r="C147" s="22"/>
      <c r="D147" s="18"/>
      <c r="E147" s="18"/>
      <c r="F147" s="19"/>
      <c r="G147" s="23"/>
      <c r="H147" s="25"/>
      <c r="I147" s="25"/>
      <c r="J147" s="21"/>
      <c r="K147" s="23"/>
      <c r="L147" s="21"/>
      <c r="M147" s="23"/>
      <c r="O147" s="20"/>
      <c r="P147" s="9"/>
    </row>
    <row r="148" spans="1:16" s="8" customFormat="1" x14ac:dyDescent="0.25">
      <c r="A148" s="16"/>
      <c r="B148" s="17"/>
      <c r="C148" s="22"/>
      <c r="D148" s="18"/>
      <c r="E148" s="18"/>
      <c r="F148" s="19"/>
      <c r="G148" s="23"/>
      <c r="H148" s="25"/>
      <c r="I148" s="25"/>
      <c r="J148" s="21"/>
      <c r="K148" s="23"/>
      <c r="L148" s="21"/>
      <c r="M148" s="23"/>
      <c r="O148" s="20"/>
      <c r="P148" s="9"/>
    </row>
    <row r="149" spans="1:16" s="8" customFormat="1" x14ac:dyDescent="0.25">
      <c r="A149" s="16"/>
      <c r="B149" s="17"/>
      <c r="C149" s="22"/>
      <c r="D149" s="18"/>
      <c r="E149" s="18"/>
      <c r="F149" s="19"/>
      <c r="G149" s="23"/>
      <c r="H149" s="25"/>
      <c r="I149" s="25"/>
      <c r="J149" s="21"/>
      <c r="K149" s="23"/>
      <c r="L149" s="21"/>
      <c r="M149" s="23"/>
      <c r="O149" s="20"/>
      <c r="P149" s="9"/>
    </row>
    <row r="150" spans="1:16" s="8" customFormat="1" x14ac:dyDescent="0.25">
      <c r="A150" s="16"/>
      <c r="B150" s="17"/>
      <c r="C150" s="22"/>
      <c r="D150" s="18"/>
      <c r="E150" s="18"/>
      <c r="F150" s="19"/>
      <c r="G150" s="23"/>
      <c r="H150" s="25"/>
      <c r="I150" s="25"/>
      <c r="J150" s="21"/>
      <c r="K150" s="23"/>
      <c r="L150" s="21"/>
      <c r="M150" s="23"/>
      <c r="O150" s="20"/>
      <c r="P150" s="9"/>
    </row>
    <row r="151" spans="1:16" s="8" customFormat="1" x14ac:dyDescent="0.25">
      <c r="A151" s="16"/>
      <c r="B151" s="17"/>
      <c r="C151" s="22"/>
      <c r="D151" s="18"/>
      <c r="E151" s="18"/>
      <c r="F151" s="19"/>
      <c r="G151" s="23"/>
      <c r="H151" s="25"/>
      <c r="I151" s="25"/>
      <c r="J151" s="21"/>
      <c r="K151" s="23"/>
      <c r="L151" s="21"/>
      <c r="M151" s="23"/>
      <c r="O151" s="20"/>
      <c r="P151" s="9"/>
    </row>
    <row r="152" spans="1:16" s="8" customFormat="1" x14ac:dyDescent="0.25">
      <c r="A152" s="16"/>
      <c r="B152" s="17"/>
      <c r="C152" s="22"/>
      <c r="D152" s="18"/>
      <c r="E152" s="18"/>
      <c r="F152" s="19"/>
      <c r="G152" s="23"/>
      <c r="H152" s="25"/>
      <c r="I152" s="25"/>
      <c r="J152" s="21"/>
      <c r="K152" s="23"/>
      <c r="L152" s="21"/>
      <c r="M152" s="23"/>
      <c r="O152" s="20"/>
      <c r="P152" s="9"/>
    </row>
    <row r="153" spans="1:16" s="8" customFormat="1" x14ac:dyDescent="0.25">
      <c r="A153" s="16"/>
      <c r="B153" s="17"/>
      <c r="C153" s="22"/>
      <c r="D153" s="18"/>
      <c r="E153" s="18"/>
      <c r="F153" s="19"/>
      <c r="G153" s="23"/>
      <c r="H153" s="25"/>
      <c r="I153" s="25"/>
      <c r="J153" s="21"/>
      <c r="K153" s="23"/>
      <c r="L153" s="21"/>
      <c r="M153" s="23"/>
      <c r="O153" s="20"/>
      <c r="P153" s="9"/>
    </row>
    <row r="154" spans="1:16" s="8" customFormat="1" x14ac:dyDescent="0.25">
      <c r="A154" s="16"/>
      <c r="B154" s="17"/>
      <c r="C154" s="22"/>
      <c r="D154" s="18"/>
      <c r="E154" s="18"/>
      <c r="F154" s="19"/>
      <c r="G154" s="23"/>
      <c r="H154" s="25"/>
      <c r="I154" s="25"/>
      <c r="J154" s="21"/>
      <c r="K154" s="23"/>
      <c r="L154" s="21"/>
      <c r="M154" s="23"/>
      <c r="O154" s="20"/>
      <c r="P154" s="9"/>
    </row>
    <row r="155" spans="1:16" s="8" customFormat="1" x14ac:dyDescent="0.25">
      <c r="A155" s="16"/>
      <c r="B155" s="17"/>
      <c r="C155" s="22"/>
      <c r="D155" s="18"/>
      <c r="E155" s="18"/>
      <c r="F155" s="19"/>
      <c r="G155" s="23"/>
      <c r="H155" s="25"/>
      <c r="I155" s="25"/>
      <c r="J155" s="21"/>
      <c r="K155" s="23"/>
      <c r="L155" s="21"/>
      <c r="M155" s="23"/>
      <c r="O155" s="20"/>
      <c r="P155" s="9"/>
    </row>
    <row r="156" spans="1:16" s="8" customFormat="1" x14ac:dyDescent="0.25">
      <c r="A156" s="16"/>
      <c r="B156" s="17"/>
      <c r="C156" s="22"/>
      <c r="D156" s="18"/>
      <c r="E156" s="18"/>
      <c r="F156" s="19"/>
      <c r="G156" s="23"/>
      <c r="H156" s="25"/>
      <c r="I156" s="25"/>
      <c r="J156" s="21"/>
      <c r="K156" s="23"/>
      <c r="L156" s="21"/>
      <c r="M156" s="23"/>
      <c r="O156" s="20"/>
      <c r="P156" s="9"/>
    </row>
    <row r="157" spans="1:16" s="8" customFormat="1" x14ac:dyDescent="0.25">
      <c r="A157" s="16"/>
      <c r="B157" s="17"/>
      <c r="C157" s="22"/>
      <c r="D157" s="18"/>
      <c r="E157" s="18"/>
      <c r="F157" s="19"/>
      <c r="G157" s="23"/>
      <c r="H157" s="25"/>
      <c r="I157" s="25"/>
      <c r="J157" s="21"/>
      <c r="K157" s="23"/>
      <c r="L157" s="21"/>
      <c r="M157" s="23"/>
      <c r="O157" s="20"/>
      <c r="P157" s="9"/>
    </row>
    <row r="158" spans="1:16" s="8" customFormat="1" x14ac:dyDescent="0.25">
      <c r="A158" s="16"/>
      <c r="B158" s="17"/>
      <c r="C158" s="22"/>
      <c r="D158" s="18"/>
      <c r="E158" s="18"/>
      <c r="F158" s="19"/>
      <c r="G158" s="23"/>
      <c r="H158" s="25"/>
      <c r="I158" s="25"/>
      <c r="J158" s="21"/>
      <c r="K158" s="23"/>
      <c r="L158" s="21"/>
      <c r="M158" s="23"/>
      <c r="O158" s="20"/>
      <c r="P158" s="9"/>
    </row>
    <row r="159" spans="1:16" s="8" customFormat="1" x14ac:dyDescent="0.25">
      <c r="A159" s="16"/>
      <c r="B159" s="17"/>
      <c r="C159" s="22"/>
      <c r="D159" s="18"/>
      <c r="E159" s="18"/>
      <c r="F159" s="19"/>
      <c r="G159" s="23"/>
      <c r="H159" s="25"/>
      <c r="I159" s="25"/>
      <c r="J159" s="21"/>
      <c r="K159" s="23"/>
      <c r="L159" s="21"/>
      <c r="M159" s="23"/>
      <c r="O159" s="20"/>
      <c r="P159" s="9"/>
    </row>
    <row r="160" spans="1:16" s="8" customFormat="1" x14ac:dyDescent="0.25">
      <c r="A160" s="16"/>
      <c r="B160" s="17"/>
      <c r="C160" s="22"/>
      <c r="D160" s="18"/>
      <c r="E160" s="18"/>
      <c r="F160" s="19"/>
      <c r="G160" s="23"/>
      <c r="H160" s="25"/>
      <c r="I160" s="25"/>
      <c r="J160" s="21"/>
      <c r="K160" s="23"/>
      <c r="L160" s="21"/>
      <c r="M160" s="23"/>
      <c r="O160" s="20"/>
      <c r="P160" s="9"/>
    </row>
    <row r="161" spans="1:16" s="8" customFormat="1" x14ac:dyDescent="0.25">
      <c r="A161" s="16"/>
      <c r="B161" s="17"/>
      <c r="C161" s="22"/>
      <c r="D161" s="18"/>
      <c r="E161" s="18"/>
      <c r="F161" s="19"/>
      <c r="G161" s="23"/>
      <c r="H161" s="25"/>
      <c r="I161" s="25"/>
      <c r="J161" s="21"/>
      <c r="K161" s="23"/>
      <c r="L161" s="21"/>
      <c r="M161" s="23"/>
      <c r="O161" s="20"/>
      <c r="P161" s="9"/>
    </row>
    <row r="162" spans="1:16" s="8" customFormat="1" x14ac:dyDescent="0.25">
      <c r="A162" s="16"/>
      <c r="B162" s="17"/>
      <c r="C162" s="22"/>
      <c r="D162" s="18"/>
      <c r="E162" s="18"/>
      <c r="F162" s="19"/>
      <c r="G162" s="23"/>
      <c r="H162" s="25"/>
      <c r="I162" s="25"/>
      <c r="J162" s="21"/>
      <c r="K162" s="23"/>
      <c r="L162" s="21"/>
      <c r="M162" s="23"/>
      <c r="O162" s="20"/>
      <c r="P162" s="9"/>
    </row>
    <row r="163" spans="1:16" s="8" customFormat="1" x14ac:dyDescent="0.25">
      <c r="A163" s="16"/>
      <c r="B163" s="17"/>
      <c r="C163" s="22"/>
      <c r="D163" s="18"/>
      <c r="E163" s="18"/>
      <c r="F163" s="19"/>
      <c r="G163" s="23"/>
      <c r="H163" s="25"/>
      <c r="I163" s="25"/>
      <c r="J163" s="21"/>
      <c r="K163" s="23"/>
      <c r="L163" s="21"/>
      <c r="M163" s="23"/>
      <c r="O163" s="20"/>
      <c r="P163" s="9"/>
    </row>
    <row r="164" spans="1:16" s="8" customFormat="1" x14ac:dyDescent="0.25">
      <c r="A164" s="16"/>
      <c r="B164" s="17"/>
      <c r="C164" s="22"/>
      <c r="D164" s="18"/>
      <c r="E164" s="18"/>
      <c r="F164" s="19"/>
      <c r="G164" s="23"/>
      <c r="H164" s="25"/>
      <c r="I164" s="25"/>
      <c r="J164" s="21"/>
      <c r="K164" s="23"/>
      <c r="L164" s="21"/>
      <c r="M164" s="23"/>
      <c r="O164" s="20"/>
      <c r="P164" s="9"/>
    </row>
    <row r="165" spans="1:16" s="8" customFormat="1" x14ac:dyDescent="0.25">
      <c r="A165" s="16"/>
      <c r="B165" s="17"/>
      <c r="C165" s="22"/>
      <c r="D165" s="18"/>
      <c r="E165" s="18"/>
      <c r="F165" s="19"/>
      <c r="G165" s="23"/>
      <c r="H165" s="25"/>
      <c r="I165" s="25"/>
      <c r="J165" s="21"/>
      <c r="K165" s="23"/>
      <c r="L165" s="21"/>
      <c r="M165" s="23"/>
      <c r="O165" s="20"/>
      <c r="P165" s="9"/>
    </row>
    <row r="166" spans="1:16" s="8" customFormat="1" x14ac:dyDescent="0.25">
      <c r="A166" s="16"/>
      <c r="B166" s="17"/>
      <c r="C166" s="22"/>
      <c r="D166" s="18"/>
      <c r="E166" s="18"/>
      <c r="F166" s="19"/>
      <c r="G166" s="23"/>
      <c r="H166" s="25"/>
      <c r="I166" s="25"/>
      <c r="J166" s="21"/>
      <c r="K166" s="23"/>
      <c r="L166" s="21"/>
      <c r="M166" s="23"/>
      <c r="O166" s="20"/>
      <c r="P166" s="9"/>
    </row>
    <row r="167" spans="1:16" s="8" customFormat="1" x14ac:dyDescent="0.25">
      <c r="A167" s="16"/>
      <c r="B167" s="17"/>
      <c r="C167" s="22"/>
      <c r="D167" s="18"/>
      <c r="E167" s="18"/>
      <c r="F167" s="19"/>
      <c r="G167" s="23"/>
      <c r="H167" s="25"/>
      <c r="I167" s="25"/>
      <c r="J167" s="21"/>
      <c r="K167" s="23"/>
      <c r="L167" s="21"/>
      <c r="M167" s="23"/>
      <c r="O167" s="20"/>
      <c r="P167" s="9"/>
    </row>
    <row r="168" spans="1:16" s="8" customFormat="1" x14ac:dyDescent="0.25">
      <c r="A168" s="16"/>
      <c r="B168" s="17"/>
      <c r="C168" s="22"/>
      <c r="D168" s="18"/>
      <c r="E168" s="18"/>
      <c r="F168" s="19"/>
      <c r="G168" s="23"/>
      <c r="H168" s="25"/>
      <c r="I168" s="25"/>
      <c r="J168" s="21"/>
      <c r="K168" s="23"/>
      <c r="L168" s="21"/>
      <c r="M168" s="23"/>
      <c r="O168" s="20"/>
      <c r="P168" s="9"/>
    </row>
    <row r="169" spans="1:16" s="8" customFormat="1" x14ac:dyDescent="0.25">
      <c r="A169" s="16"/>
      <c r="B169" s="17"/>
      <c r="C169" s="22"/>
      <c r="D169" s="18"/>
      <c r="E169" s="18"/>
      <c r="F169" s="19"/>
      <c r="G169" s="23"/>
      <c r="H169" s="25"/>
      <c r="I169" s="25"/>
      <c r="J169" s="21"/>
      <c r="K169" s="23"/>
      <c r="L169" s="21"/>
      <c r="M169" s="23"/>
      <c r="O169" s="20"/>
      <c r="P169" s="9"/>
    </row>
    <row r="170" spans="1:16" s="8" customFormat="1" x14ac:dyDescent="0.25">
      <c r="A170" s="16"/>
      <c r="B170" s="17"/>
      <c r="C170" s="22"/>
      <c r="D170" s="18"/>
      <c r="E170" s="18"/>
      <c r="F170" s="19"/>
      <c r="G170" s="23"/>
      <c r="H170" s="25"/>
      <c r="I170" s="25"/>
      <c r="J170" s="21"/>
      <c r="K170" s="23"/>
      <c r="L170" s="21"/>
      <c r="M170" s="23"/>
      <c r="O170" s="20"/>
      <c r="P170" s="9"/>
    </row>
    <row r="171" spans="1:16" s="8" customFormat="1" x14ac:dyDescent="0.25">
      <c r="A171" s="16"/>
      <c r="B171" s="17"/>
      <c r="C171" s="22"/>
      <c r="D171" s="18"/>
      <c r="E171" s="18"/>
      <c r="F171" s="19"/>
      <c r="G171" s="23"/>
      <c r="H171" s="25"/>
      <c r="I171" s="25"/>
      <c r="J171" s="21"/>
      <c r="K171" s="23"/>
      <c r="L171" s="21"/>
      <c r="M171" s="23"/>
      <c r="O171" s="20"/>
      <c r="P171" s="9"/>
    </row>
    <row r="172" spans="1:16" s="8" customFormat="1" x14ac:dyDescent="0.25">
      <c r="A172" s="16"/>
      <c r="B172" s="17"/>
      <c r="C172" s="22"/>
      <c r="D172" s="18"/>
      <c r="E172" s="18"/>
      <c r="F172" s="19"/>
      <c r="G172" s="23"/>
      <c r="H172" s="25"/>
      <c r="I172" s="25"/>
      <c r="J172" s="21"/>
      <c r="K172" s="23"/>
      <c r="L172" s="21"/>
      <c r="M172" s="23"/>
      <c r="O172" s="20"/>
      <c r="P172" s="9"/>
    </row>
    <row r="173" spans="1:16" s="8" customFormat="1" x14ac:dyDescent="0.25">
      <c r="A173" s="16"/>
      <c r="B173" s="17"/>
      <c r="C173" s="22"/>
      <c r="D173" s="18"/>
      <c r="E173" s="18"/>
      <c r="F173" s="19"/>
      <c r="G173" s="23"/>
      <c r="H173" s="25"/>
      <c r="I173" s="25"/>
      <c r="J173" s="21"/>
      <c r="K173" s="23"/>
      <c r="L173" s="21"/>
      <c r="M173" s="23"/>
      <c r="O173" s="20"/>
      <c r="P173" s="9"/>
    </row>
    <row r="174" spans="1:16" s="8" customFormat="1" x14ac:dyDescent="0.25">
      <c r="A174" s="16"/>
      <c r="B174" s="17"/>
      <c r="C174" s="22"/>
      <c r="D174" s="18"/>
      <c r="E174" s="18"/>
      <c r="F174" s="19"/>
      <c r="G174" s="23"/>
      <c r="H174" s="25"/>
      <c r="I174" s="25"/>
      <c r="J174" s="21"/>
      <c r="K174" s="23"/>
      <c r="L174" s="21"/>
      <c r="M174" s="23"/>
      <c r="O174" s="20"/>
      <c r="P174" s="9"/>
    </row>
    <row r="175" spans="1:16" s="8" customFormat="1" x14ac:dyDescent="0.25">
      <c r="A175" s="16"/>
      <c r="B175" s="17"/>
      <c r="C175" s="22"/>
      <c r="D175" s="18"/>
      <c r="E175" s="18"/>
      <c r="F175" s="19"/>
      <c r="G175" s="23"/>
      <c r="H175" s="25"/>
      <c r="I175" s="25"/>
      <c r="J175" s="21"/>
      <c r="K175" s="23"/>
      <c r="L175" s="21"/>
      <c r="M175" s="23"/>
      <c r="O175" s="20"/>
      <c r="P175" s="9"/>
    </row>
    <row r="176" spans="1:16" s="8" customFormat="1" x14ac:dyDescent="0.25">
      <c r="A176" s="16"/>
      <c r="B176" s="17"/>
      <c r="C176" s="22"/>
      <c r="D176" s="18"/>
      <c r="E176" s="18"/>
      <c r="F176" s="19"/>
      <c r="G176" s="23"/>
      <c r="H176" s="25"/>
      <c r="I176" s="25"/>
      <c r="J176" s="21"/>
      <c r="K176" s="23"/>
      <c r="L176" s="21"/>
      <c r="M176" s="23"/>
      <c r="O176" s="20"/>
      <c r="P176" s="9"/>
    </row>
    <row r="177" spans="1:16" s="8" customFormat="1" x14ac:dyDescent="0.25">
      <c r="A177" s="16"/>
      <c r="B177" s="17"/>
      <c r="C177" s="22"/>
      <c r="D177" s="18"/>
      <c r="E177" s="18"/>
      <c r="F177" s="19"/>
      <c r="G177" s="23"/>
      <c r="H177" s="25"/>
      <c r="I177" s="25"/>
      <c r="J177" s="21"/>
      <c r="K177" s="23"/>
      <c r="L177" s="21"/>
      <c r="M177" s="23"/>
      <c r="O177" s="20"/>
      <c r="P177" s="9"/>
    </row>
    <row r="178" spans="1:16" s="8" customFormat="1" x14ac:dyDescent="0.25">
      <c r="A178" s="16"/>
      <c r="B178" s="17"/>
      <c r="C178" s="22"/>
      <c r="D178" s="18"/>
      <c r="E178" s="18"/>
      <c r="F178" s="19"/>
      <c r="G178" s="23"/>
      <c r="H178" s="25"/>
      <c r="I178" s="25"/>
      <c r="J178" s="21"/>
      <c r="K178" s="23"/>
      <c r="L178" s="21"/>
      <c r="M178" s="23"/>
      <c r="O178" s="20"/>
      <c r="P178" s="9"/>
    </row>
    <row r="179" spans="1:16" s="8" customFormat="1" x14ac:dyDescent="0.25">
      <c r="A179" s="16"/>
      <c r="B179" s="17"/>
      <c r="C179" s="22"/>
      <c r="D179" s="18"/>
      <c r="E179" s="18"/>
      <c r="F179" s="19"/>
      <c r="G179" s="23"/>
      <c r="H179" s="25"/>
      <c r="I179" s="25"/>
      <c r="J179" s="21"/>
      <c r="K179" s="23"/>
      <c r="L179" s="21"/>
      <c r="M179" s="23"/>
      <c r="O179" s="20"/>
      <c r="P179" s="9"/>
    </row>
    <row r="180" spans="1:16" s="8" customFormat="1" x14ac:dyDescent="0.25">
      <c r="A180" s="16"/>
      <c r="B180" s="17"/>
      <c r="C180" s="22"/>
      <c r="D180" s="18"/>
      <c r="E180" s="18"/>
      <c r="F180" s="19"/>
      <c r="G180" s="23"/>
      <c r="H180" s="25"/>
      <c r="I180" s="25"/>
      <c r="J180" s="21"/>
      <c r="K180" s="23"/>
      <c r="L180" s="21"/>
      <c r="M180" s="23"/>
      <c r="O180" s="20"/>
      <c r="P180" s="9"/>
    </row>
    <row r="181" spans="1:16" s="8" customFormat="1" x14ac:dyDescent="0.25">
      <c r="A181" s="16"/>
      <c r="B181" s="17"/>
      <c r="C181" s="22"/>
      <c r="D181" s="18"/>
      <c r="E181" s="18"/>
      <c r="F181" s="19"/>
      <c r="G181" s="23"/>
      <c r="H181" s="25"/>
      <c r="I181" s="25"/>
      <c r="J181" s="21"/>
      <c r="K181" s="23"/>
      <c r="L181" s="21"/>
      <c r="M181" s="23"/>
      <c r="O181" s="20"/>
      <c r="P181" s="9"/>
    </row>
    <row r="182" spans="1:16" s="8" customFormat="1" x14ac:dyDescent="0.25">
      <c r="A182" s="16"/>
      <c r="B182" s="17"/>
      <c r="C182" s="22"/>
      <c r="D182" s="18"/>
      <c r="E182" s="18"/>
      <c r="F182" s="19"/>
      <c r="G182" s="23"/>
      <c r="H182" s="25"/>
      <c r="I182" s="25"/>
      <c r="J182" s="21"/>
      <c r="K182" s="23"/>
      <c r="L182" s="21"/>
      <c r="M182" s="23"/>
      <c r="O182" s="20"/>
      <c r="P182" s="9"/>
    </row>
    <row r="183" spans="1:16" s="8" customFormat="1" x14ac:dyDescent="0.25">
      <c r="A183" s="16"/>
      <c r="B183" s="17"/>
      <c r="C183" s="22"/>
      <c r="D183" s="18"/>
      <c r="E183" s="18"/>
      <c r="F183" s="19"/>
      <c r="G183" s="23"/>
      <c r="H183" s="25"/>
      <c r="I183" s="25"/>
      <c r="J183" s="21"/>
      <c r="K183" s="23"/>
      <c r="L183" s="21"/>
      <c r="M183" s="23"/>
      <c r="O183" s="20"/>
      <c r="P183" s="9"/>
    </row>
    <row r="184" spans="1:16" s="8" customFormat="1" x14ac:dyDescent="0.25">
      <c r="A184" s="16"/>
      <c r="B184" s="17"/>
      <c r="C184" s="22"/>
      <c r="D184" s="18"/>
      <c r="E184" s="18"/>
      <c r="F184" s="19"/>
      <c r="G184" s="23"/>
      <c r="H184" s="25"/>
      <c r="I184" s="25"/>
      <c r="J184" s="21"/>
      <c r="K184" s="23"/>
      <c r="L184" s="21"/>
      <c r="M184" s="23"/>
      <c r="O184" s="20"/>
      <c r="P184" s="9"/>
    </row>
    <row r="185" spans="1:16" s="8" customFormat="1" x14ac:dyDescent="0.25">
      <c r="A185" s="16"/>
      <c r="B185" s="17"/>
      <c r="C185" s="22"/>
      <c r="D185" s="18"/>
      <c r="E185" s="18"/>
      <c r="F185" s="19"/>
      <c r="G185" s="23"/>
      <c r="H185" s="25"/>
      <c r="I185" s="25"/>
      <c r="J185" s="21"/>
      <c r="K185" s="23"/>
      <c r="L185" s="21"/>
      <c r="M185" s="23"/>
      <c r="O185" s="20"/>
      <c r="P185" s="9"/>
    </row>
    <row r="186" spans="1:16" s="8" customFormat="1" x14ac:dyDescent="0.25">
      <c r="A186" s="16"/>
      <c r="B186" s="17"/>
      <c r="C186" s="22"/>
      <c r="D186" s="18"/>
      <c r="E186" s="18"/>
      <c r="F186" s="19"/>
      <c r="G186" s="23"/>
      <c r="H186" s="25"/>
      <c r="I186" s="25"/>
      <c r="J186" s="21"/>
      <c r="K186" s="23"/>
      <c r="L186" s="21"/>
      <c r="M186" s="23"/>
      <c r="O186" s="20"/>
      <c r="P186" s="9"/>
    </row>
    <row r="187" spans="1:16" s="8" customFormat="1" x14ac:dyDescent="0.25">
      <c r="A187" s="16"/>
      <c r="B187" s="17"/>
      <c r="C187" s="22"/>
      <c r="D187" s="18"/>
      <c r="E187" s="18"/>
      <c r="F187" s="19"/>
      <c r="G187" s="23"/>
      <c r="H187" s="25"/>
      <c r="I187" s="25"/>
      <c r="J187" s="21"/>
      <c r="K187" s="23"/>
      <c r="L187" s="21"/>
      <c r="M187" s="23"/>
      <c r="O187" s="20"/>
      <c r="P187" s="9"/>
    </row>
    <row r="188" spans="1:16" s="8" customFormat="1" x14ac:dyDescent="0.25">
      <c r="A188" s="16"/>
      <c r="B188" s="17"/>
      <c r="C188" s="22"/>
      <c r="D188" s="18"/>
      <c r="E188" s="18"/>
      <c r="F188" s="19"/>
      <c r="G188" s="23"/>
      <c r="H188" s="25"/>
      <c r="I188" s="25"/>
      <c r="J188" s="21"/>
      <c r="K188" s="23"/>
      <c r="L188" s="21"/>
      <c r="M188" s="23"/>
      <c r="O188" s="20"/>
      <c r="P188" s="9"/>
    </row>
    <row r="189" spans="1:16" s="8" customFormat="1" x14ac:dyDescent="0.25">
      <c r="A189" s="16"/>
      <c r="B189" s="17"/>
      <c r="C189" s="22"/>
      <c r="D189" s="18"/>
      <c r="E189" s="18"/>
      <c r="F189" s="19"/>
      <c r="G189" s="23"/>
      <c r="H189" s="25"/>
      <c r="I189" s="25"/>
      <c r="J189" s="21"/>
      <c r="K189" s="23"/>
      <c r="L189" s="21"/>
      <c r="M189" s="23"/>
      <c r="O189" s="20"/>
      <c r="P189" s="9"/>
    </row>
    <row r="190" spans="1:16" s="8" customFormat="1" x14ac:dyDescent="0.25">
      <c r="A190" s="16"/>
      <c r="B190" s="17"/>
      <c r="C190" s="22"/>
      <c r="D190" s="18"/>
      <c r="E190" s="18"/>
      <c r="F190" s="19"/>
      <c r="G190" s="23"/>
      <c r="H190" s="25"/>
      <c r="I190" s="25"/>
      <c r="J190" s="21"/>
      <c r="K190" s="23"/>
      <c r="L190" s="21"/>
      <c r="M190" s="23"/>
      <c r="O190" s="20"/>
      <c r="P190" s="9"/>
    </row>
    <row r="191" spans="1:16" s="8" customFormat="1" x14ac:dyDescent="0.25">
      <c r="A191" s="16"/>
      <c r="B191" s="17"/>
      <c r="C191" s="22"/>
      <c r="D191" s="18"/>
      <c r="E191" s="18"/>
      <c r="F191" s="19"/>
      <c r="G191" s="23"/>
      <c r="H191" s="25"/>
      <c r="I191" s="25"/>
      <c r="J191" s="21"/>
      <c r="K191" s="23"/>
      <c r="L191" s="21"/>
      <c r="M191" s="23"/>
      <c r="O191" s="20"/>
      <c r="P191" s="9"/>
    </row>
    <row r="192" spans="1:16" s="8" customFormat="1" x14ac:dyDescent="0.25">
      <c r="A192" s="16"/>
      <c r="B192" s="17"/>
      <c r="C192" s="22"/>
      <c r="D192" s="18"/>
      <c r="E192" s="18"/>
      <c r="F192" s="19"/>
      <c r="G192" s="23"/>
      <c r="H192" s="25"/>
      <c r="I192" s="25"/>
      <c r="J192" s="21"/>
      <c r="K192" s="23"/>
      <c r="L192" s="21"/>
      <c r="M192" s="23"/>
      <c r="O192" s="20"/>
      <c r="P192" s="9"/>
    </row>
    <row r="193" spans="1:16" s="8" customFormat="1" x14ac:dyDescent="0.25">
      <c r="A193" s="16"/>
      <c r="B193" s="17"/>
      <c r="C193" s="22"/>
      <c r="D193" s="18"/>
      <c r="E193" s="18"/>
      <c r="F193" s="19"/>
      <c r="G193" s="23"/>
      <c r="H193" s="25"/>
      <c r="I193" s="25"/>
      <c r="J193" s="21"/>
      <c r="K193" s="23"/>
      <c r="L193" s="21"/>
      <c r="M193" s="23"/>
      <c r="O193" s="20"/>
      <c r="P193" s="9"/>
    </row>
    <row r="194" spans="1:16" s="8" customFormat="1" x14ac:dyDescent="0.25">
      <c r="A194" s="16"/>
      <c r="B194" s="17"/>
      <c r="C194" s="22"/>
      <c r="D194" s="18"/>
      <c r="E194" s="18"/>
      <c r="F194" s="19"/>
      <c r="G194" s="23"/>
      <c r="H194" s="25"/>
      <c r="I194" s="25"/>
      <c r="J194" s="21"/>
      <c r="K194" s="23"/>
      <c r="L194" s="21"/>
      <c r="M194" s="23"/>
      <c r="O194" s="20"/>
      <c r="P194" s="9"/>
    </row>
    <row r="195" spans="1:16" s="8" customFormat="1" x14ac:dyDescent="0.25">
      <c r="A195" s="16"/>
      <c r="B195" s="17"/>
      <c r="C195" s="22"/>
      <c r="D195" s="18"/>
      <c r="E195" s="18"/>
      <c r="F195" s="19"/>
      <c r="G195" s="23"/>
      <c r="H195" s="25"/>
      <c r="I195" s="25"/>
      <c r="J195" s="21"/>
      <c r="K195" s="23"/>
      <c r="L195" s="21"/>
      <c r="M195" s="23"/>
      <c r="O195" s="20"/>
      <c r="P195" s="9"/>
    </row>
    <row r="196" spans="1:16" s="8" customFormat="1" x14ac:dyDescent="0.25">
      <c r="A196" s="16"/>
      <c r="B196" s="17"/>
      <c r="C196" s="22"/>
      <c r="D196" s="18"/>
      <c r="E196" s="18"/>
      <c r="F196" s="19"/>
      <c r="G196" s="23"/>
      <c r="H196" s="25"/>
      <c r="I196" s="25"/>
      <c r="J196" s="21"/>
      <c r="K196" s="23"/>
      <c r="L196" s="21"/>
      <c r="M196" s="23"/>
      <c r="O196" s="20"/>
      <c r="P196" s="9"/>
    </row>
    <row r="197" spans="1:16" s="8" customFormat="1" x14ac:dyDescent="0.25">
      <c r="A197" s="16"/>
      <c r="B197" s="17"/>
      <c r="C197" s="22"/>
      <c r="D197" s="18"/>
      <c r="E197" s="18"/>
      <c r="F197" s="19"/>
      <c r="G197" s="23"/>
      <c r="H197" s="25"/>
      <c r="I197" s="25"/>
      <c r="J197" s="21"/>
      <c r="K197" s="23"/>
      <c r="L197" s="21"/>
      <c r="M197" s="23"/>
      <c r="O197" s="20"/>
      <c r="P197" s="9"/>
    </row>
    <row r="198" spans="1:16" s="8" customFormat="1" x14ac:dyDescent="0.25">
      <c r="A198" s="16"/>
      <c r="B198" s="17"/>
      <c r="C198" s="22"/>
      <c r="D198" s="18"/>
      <c r="E198" s="18"/>
      <c r="F198" s="19"/>
      <c r="G198" s="23"/>
      <c r="H198" s="25"/>
      <c r="I198" s="25"/>
      <c r="J198" s="21"/>
      <c r="K198" s="23"/>
      <c r="L198" s="21"/>
      <c r="M198" s="23"/>
      <c r="O198" s="20"/>
      <c r="P198" s="9"/>
    </row>
    <row r="199" spans="1:16" s="8" customFormat="1" x14ac:dyDescent="0.25">
      <c r="A199" s="16"/>
      <c r="B199" s="17"/>
      <c r="C199" s="22"/>
      <c r="D199" s="18"/>
      <c r="E199" s="18"/>
      <c r="F199" s="19"/>
      <c r="G199" s="23"/>
      <c r="H199" s="25"/>
      <c r="I199" s="25"/>
      <c r="J199" s="21"/>
      <c r="K199" s="23"/>
      <c r="L199" s="21"/>
      <c r="M199" s="23"/>
      <c r="O199" s="20"/>
      <c r="P199" s="9"/>
    </row>
    <row r="200" spans="1:16" s="8" customFormat="1" x14ac:dyDescent="0.25">
      <c r="A200" s="16"/>
      <c r="B200" s="17"/>
      <c r="C200" s="22"/>
      <c r="D200" s="18"/>
      <c r="E200" s="18"/>
      <c r="F200" s="19"/>
      <c r="G200" s="23"/>
      <c r="H200" s="25"/>
      <c r="I200" s="25"/>
      <c r="J200" s="21"/>
      <c r="K200" s="23"/>
      <c r="L200" s="21"/>
      <c r="M200" s="23"/>
      <c r="O200" s="20"/>
      <c r="P200" s="9"/>
    </row>
    <row r="201" spans="1:16" s="8" customFormat="1" x14ac:dyDescent="0.25">
      <c r="A201" s="16"/>
      <c r="B201" s="17"/>
      <c r="C201" s="22"/>
      <c r="D201" s="18"/>
      <c r="E201" s="18"/>
      <c r="F201" s="19"/>
      <c r="G201" s="23"/>
      <c r="H201" s="25"/>
      <c r="I201" s="25"/>
      <c r="J201" s="21"/>
      <c r="K201" s="23"/>
      <c r="L201" s="21"/>
      <c r="M201" s="23"/>
      <c r="O201" s="20"/>
      <c r="P201" s="9"/>
    </row>
    <row r="202" spans="1:16" s="8" customFormat="1" x14ac:dyDescent="0.25">
      <c r="A202" s="16"/>
      <c r="B202" s="17"/>
      <c r="C202" s="22"/>
      <c r="D202" s="18"/>
      <c r="E202" s="18"/>
      <c r="F202" s="19"/>
      <c r="G202" s="23"/>
      <c r="H202" s="25"/>
      <c r="I202" s="25"/>
      <c r="J202" s="21"/>
      <c r="K202" s="23"/>
      <c r="L202" s="21"/>
      <c r="M202" s="23"/>
      <c r="O202" s="20"/>
      <c r="P202" s="9"/>
    </row>
    <row r="203" spans="1:16" s="8" customFormat="1" x14ac:dyDescent="0.25">
      <c r="A203" s="16"/>
      <c r="B203" s="17"/>
      <c r="C203" s="22"/>
      <c r="D203" s="18"/>
      <c r="E203" s="18"/>
      <c r="F203" s="19"/>
      <c r="G203" s="23"/>
      <c r="H203" s="25"/>
      <c r="I203" s="25"/>
      <c r="J203" s="21"/>
      <c r="K203" s="23"/>
      <c r="L203" s="21"/>
      <c r="M203" s="23"/>
      <c r="O203" s="20"/>
      <c r="P203" s="9"/>
    </row>
    <row r="204" spans="1:16" s="8" customFormat="1" x14ac:dyDescent="0.25">
      <c r="A204" s="16"/>
      <c r="B204" s="17"/>
      <c r="C204" s="22"/>
      <c r="D204" s="18"/>
      <c r="E204" s="18"/>
      <c r="F204" s="19"/>
      <c r="G204" s="23"/>
      <c r="H204" s="25"/>
      <c r="I204" s="25"/>
      <c r="J204" s="21"/>
      <c r="K204" s="23"/>
      <c r="L204" s="21"/>
      <c r="M204" s="23"/>
      <c r="O204" s="20"/>
      <c r="P204" s="9"/>
    </row>
    <row r="205" spans="1:16" s="8" customFormat="1" x14ac:dyDescent="0.25">
      <c r="A205" s="16"/>
      <c r="B205" s="17"/>
      <c r="C205" s="22"/>
      <c r="D205" s="18"/>
      <c r="E205" s="18"/>
      <c r="F205" s="19"/>
      <c r="G205" s="23"/>
      <c r="H205" s="25"/>
      <c r="I205" s="25"/>
      <c r="J205" s="21"/>
      <c r="K205" s="23"/>
      <c r="L205" s="21"/>
      <c r="M205" s="23"/>
      <c r="O205" s="20"/>
      <c r="P205" s="9"/>
    </row>
    <row r="206" spans="1:16" s="8" customFormat="1" x14ac:dyDescent="0.25">
      <c r="A206" s="16"/>
      <c r="B206" s="17"/>
      <c r="C206" s="22"/>
      <c r="D206" s="18"/>
      <c r="E206" s="18"/>
      <c r="F206" s="19"/>
      <c r="G206" s="23"/>
      <c r="H206" s="25"/>
      <c r="I206" s="25"/>
      <c r="J206" s="21"/>
      <c r="K206" s="23"/>
      <c r="L206" s="21"/>
      <c r="M206" s="23"/>
      <c r="O206" s="20"/>
      <c r="P206" s="9"/>
    </row>
    <row r="207" spans="1:16" s="8" customFormat="1" x14ac:dyDescent="0.25">
      <c r="A207" s="16"/>
      <c r="B207" s="17"/>
      <c r="C207" s="22"/>
      <c r="D207" s="18"/>
      <c r="E207" s="18"/>
      <c r="F207" s="19"/>
      <c r="G207" s="23"/>
      <c r="H207" s="25"/>
      <c r="I207" s="25"/>
      <c r="J207" s="21"/>
      <c r="K207" s="23"/>
      <c r="L207" s="21"/>
      <c r="M207" s="23"/>
      <c r="O207" s="20"/>
      <c r="P207" s="9"/>
    </row>
    <row r="208" spans="1:16" s="8" customFormat="1" x14ac:dyDescent="0.25">
      <c r="A208" s="16"/>
      <c r="B208" s="17"/>
      <c r="C208" s="22"/>
      <c r="D208" s="18"/>
      <c r="E208" s="18"/>
      <c r="F208" s="19"/>
      <c r="G208" s="23"/>
      <c r="H208" s="25"/>
      <c r="I208" s="25"/>
      <c r="J208" s="21"/>
      <c r="K208" s="23"/>
      <c r="L208" s="21"/>
      <c r="M208" s="23"/>
      <c r="O208" s="20"/>
      <c r="P208" s="9"/>
    </row>
    <row r="209" spans="1:16" s="8" customFormat="1" x14ac:dyDescent="0.25">
      <c r="A209" s="16"/>
      <c r="B209" s="17"/>
      <c r="C209" s="22"/>
      <c r="D209" s="18"/>
      <c r="E209" s="18"/>
      <c r="F209" s="19"/>
      <c r="G209" s="23"/>
      <c r="H209" s="25"/>
      <c r="I209" s="25"/>
      <c r="J209" s="21"/>
      <c r="K209" s="23"/>
      <c r="L209" s="21"/>
      <c r="M209" s="23"/>
      <c r="O209" s="20"/>
      <c r="P209" s="9"/>
    </row>
    <row r="210" spans="1:16" s="8" customFormat="1" x14ac:dyDescent="0.25">
      <c r="A210" s="16"/>
      <c r="B210" s="17"/>
      <c r="C210" s="22"/>
      <c r="D210" s="18"/>
      <c r="E210" s="18"/>
      <c r="F210" s="19"/>
      <c r="G210" s="23"/>
      <c r="H210" s="25"/>
      <c r="I210" s="25"/>
      <c r="J210" s="21"/>
      <c r="K210" s="23"/>
      <c r="L210" s="21"/>
      <c r="M210" s="23"/>
      <c r="O210" s="20"/>
      <c r="P210" s="9"/>
    </row>
    <row r="211" spans="1:16" s="8" customFormat="1" x14ac:dyDescent="0.25">
      <c r="A211" s="16"/>
      <c r="B211" s="17"/>
      <c r="C211" s="22"/>
      <c r="D211" s="18"/>
      <c r="E211" s="18"/>
      <c r="F211" s="19"/>
      <c r="G211" s="23"/>
      <c r="H211" s="25"/>
      <c r="I211" s="25"/>
      <c r="J211" s="21"/>
      <c r="K211" s="23"/>
      <c r="L211" s="21"/>
      <c r="M211" s="23"/>
      <c r="O211" s="20"/>
      <c r="P211" s="9"/>
    </row>
    <row r="212" spans="1:16" s="8" customFormat="1" x14ac:dyDescent="0.25">
      <c r="A212" s="16"/>
      <c r="B212" s="17"/>
      <c r="C212" s="22"/>
      <c r="D212" s="18"/>
      <c r="E212" s="18"/>
      <c r="F212" s="19"/>
      <c r="G212" s="23"/>
      <c r="H212" s="25"/>
      <c r="I212" s="25"/>
      <c r="J212" s="21"/>
      <c r="K212" s="23"/>
      <c r="L212" s="21"/>
      <c r="M212" s="23"/>
      <c r="O212" s="20"/>
      <c r="P212" s="9"/>
    </row>
    <row r="213" spans="1:16" s="8" customFormat="1" x14ac:dyDescent="0.25">
      <c r="A213" s="16"/>
      <c r="B213" s="17"/>
      <c r="C213" s="22"/>
      <c r="D213" s="18"/>
      <c r="E213" s="18"/>
      <c r="F213" s="19"/>
      <c r="G213" s="23"/>
      <c r="H213" s="25"/>
      <c r="I213" s="25"/>
      <c r="J213" s="21"/>
      <c r="K213" s="23"/>
      <c r="L213" s="21"/>
      <c r="M213" s="23"/>
      <c r="O213" s="20"/>
      <c r="P213" s="9"/>
    </row>
    <row r="214" spans="1:16" s="8" customFormat="1" x14ac:dyDescent="0.25">
      <c r="A214" s="16"/>
      <c r="B214" s="17"/>
      <c r="C214" s="22"/>
      <c r="D214" s="18"/>
      <c r="E214" s="18"/>
      <c r="F214" s="19"/>
      <c r="G214" s="23"/>
      <c r="H214" s="25"/>
      <c r="I214" s="25"/>
      <c r="J214" s="21"/>
      <c r="K214" s="23"/>
      <c r="L214" s="21"/>
      <c r="M214" s="23"/>
      <c r="O214" s="20"/>
      <c r="P214" s="9"/>
    </row>
    <row r="215" spans="1:16" s="8" customFormat="1" x14ac:dyDescent="0.25">
      <c r="A215" s="16"/>
      <c r="B215" s="17"/>
      <c r="C215" s="22"/>
      <c r="D215" s="18"/>
      <c r="E215" s="18"/>
      <c r="F215" s="19"/>
      <c r="G215" s="23"/>
      <c r="H215" s="25"/>
      <c r="I215" s="25"/>
      <c r="J215" s="21"/>
      <c r="K215" s="23"/>
      <c r="L215" s="21"/>
      <c r="M215" s="23"/>
      <c r="O215" s="20"/>
      <c r="P215" s="9"/>
    </row>
    <row r="216" spans="1:16" s="8" customFormat="1" x14ac:dyDescent="0.25">
      <c r="A216" s="16"/>
      <c r="B216" s="17"/>
      <c r="C216" s="22"/>
      <c r="D216" s="18"/>
      <c r="E216" s="18"/>
      <c r="F216" s="19"/>
      <c r="G216" s="23"/>
      <c r="H216" s="25"/>
      <c r="I216" s="25"/>
      <c r="J216" s="21"/>
      <c r="K216" s="23"/>
      <c r="L216" s="21"/>
      <c r="M216" s="23"/>
      <c r="O216" s="20"/>
      <c r="P216" s="9"/>
    </row>
    <row r="217" spans="1:16" s="8" customFormat="1" x14ac:dyDescent="0.25">
      <c r="A217" s="16"/>
      <c r="B217" s="17"/>
      <c r="C217" s="22"/>
      <c r="D217" s="18"/>
      <c r="E217" s="18"/>
      <c r="F217" s="19"/>
      <c r="G217" s="23"/>
      <c r="H217" s="25"/>
      <c r="I217" s="25"/>
      <c r="J217" s="21"/>
      <c r="K217" s="23"/>
      <c r="L217" s="21"/>
      <c r="M217" s="23"/>
      <c r="O217" s="20"/>
      <c r="P217" s="9"/>
    </row>
    <row r="218" spans="1:16" s="8" customFormat="1" x14ac:dyDescent="0.25">
      <c r="A218" s="16"/>
      <c r="B218" s="17"/>
      <c r="C218" s="22"/>
      <c r="D218" s="18"/>
      <c r="E218" s="18"/>
      <c r="F218" s="19"/>
      <c r="G218" s="23"/>
      <c r="H218" s="25"/>
      <c r="I218" s="25"/>
      <c r="J218" s="21"/>
      <c r="K218" s="23"/>
      <c r="L218" s="21"/>
      <c r="M218" s="23"/>
      <c r="O218" s="20"/>
      <c r="P218" s="9"/>
    </row>
    <row r="219" spans="1:16" s="8" customFormat="1" x14ac:dyDescent="0.25">
      <c r="A219" s="16"/>
      <c r="B219" s="17"/>
      <c r="C219" s="22"/>
      <c r="D219" s="18"/>
      <c r="E219" s="18"/>
      <c r="F219" s="19"/>
      <c r="G219" s="23"/>
      <c r="H219" s="25"/>
      <c r="I219" s="25"/>
      <c r="J219" s="21"/>
      <c r="K219" s="23"/>
      <c r="L219" s="21"/>
      <c r="M219" s="23"/>
      <c r="O219" s="20"/>
      <c r="P219" s="9"/>
    </row>
    <row r="220" spans="1:16" s="8" customFormat="1" x14ac:dyDescent="0.25">
      <c r="A220" s="16"/>
      <c r="B220" s="17"/>
      <c r="C220" s="22"/>
      <c r="D220" s="18"/>
      <c r="E220" s="18"/>
      <c r="F220" s="19"/>
      <c r="G220" s="23"/>
      <c r="H220" s="25"/>
      <c r="I220" s="25"/>
      <c r="J220" s="21"/>
      <c r="K220" s="23"/>
      <c r="L220" s="21"/>
      <c r="M220" s="23"/>
      <c r="O220" s="20"/>
      <c r="P220" s="9"/>
    </row>
    <row r="221" spans="1:16" s="8" customFormat="1" x14ac:dyDescent="0.25">
      <c r="A221" s="16"/>
      <c r="B221" s="17"/>
      <c r="C221" s="22"/>
      <c r="D221" s="18"/>
      <c r="E221" s="18"/>
      <c r="F221" s="19"/>
      <c r="G221" s="23"/>
      <c r="H221" s="25"/>
      <c r="I221" s="25"/>
      <c r="J221" s="21"/>
      <c r="K221" s="23"/>
      <c r="L221" s="21"/>
      <c r="M221" s="23"/>
      <c r="O221" s="20"/>
      <c r="P221" s="9"/>
    </row>
    <row r="222" spans="1:16" s="8" customFormat="1" x14ac:dyDescent="0.25">
      <c r="A222" s="16"/>
      <c r="B222" s="17"/>
      <c r="C222" s="22"/>
      <c r="D222" s="18"/>
      <c r="E222" s="18"/>
      <c r="F222" s="19"/>
      <c r="G222" s="23"/>
      <c r="H222" s="25"/>
      <c r="I222" s="25"/>
      <c r="J222" s="21"/>
      <c r="K222" s="23"/>
      <c r="L222" s="21"/>
      <c r="M222" s="23"/>
      <c r="O222" s="20"/>
      <c r="P222" s="9"/>
    </row>
    <row r="223" spans="1:16" s="8" customFormat="1" x14ac:dyDescent="0.25">
      <c r="A223" s="16"/>
      <c r="B223" s="17"/>
      <c r="C223" s="22"/>
      <c r="D223" s="18"/>
      <c r="E223" s="18"/>
      <c r="F223" s="19"/>
      <c r="G223" s="23"/>
      <c r="H223" s="25"/>
      <c r="I223" s="25"/>
      <c r="J223" s="21"/>
      <c r="K223" s="23"/>
      <c r="L223" s="21"/>
      <c r="M223" s="23"/>
      <c r="O223" s="20"/>
      <c r="P223" s="9"/>
    </row>
    <row r="224" spans="1:16" s="8" customFormat="1" x14ac:dyDescent="0.25">
      <c r="A224" s="16"/>
      <c r="B224" s="17"/>
      <c r="C224" s="22"/>
      <c r="D224" s="18"/>
      <c r="E224" s="18"/>
      <c r="F224" s="19"/>
      <c r="G224" s="23"/>
      <c r="H224" s="25"/>
      <c r="I224" s="25"/>
      <c r="J224" s="21"/>
      <c r="K224" s="23"/>
      <c r="L224" s="21"/>
      <c r="M224" s="23"/>
      <c r="O224" s="20"/>
      <c r="P224" s="9"/>
    </row>
    <row r="225" spans="1:16" s="8" customFormat="1" x14ac:dyDescent="0.25">
      <c r="A225" s="16"/>
      <c r="B225" s="17"/>
      <c r="C225" s="22"/>
      <c r="D225" s="18"/>
      <c r="E225" s="18"/>
      <c r="F225" s="19"/>
      <c r="G225" s="23"/>
      <c r="H225" s="25"/>
      <c r="I225" s="25"/>
      <c r="J225" s="21"/>
      <c r="K225" s="23"/>
      <c r="L225" s="21"/>
      <c r="M225" s="23"/>
      <c r="O225" s="20"/>
      <c r="P225" s="9"/>
    </row>
    <row r="226" spans="1:16" s="8" customFormat="1" x14ac:dyDescent="0.25">
      <c r="A226" s="16"/>
      <c r="B226" s="17"/>
      <c r="C226" s="22"/>
      <c r="D226" s="18"/>
      <c r="E226" s="18"/>
      <c r="F226" s="19"/>
      <c r="G226" s="23"/>
      <c r="H226" s="25"/>
      <c r="I226" s="25"/>
      <c r="J226" s="21"/>
      <c r="K226" s="23"/>
      <c r="L226" s="21"/>
      <c r="M226" s="23"/>
      <c r="O226" s="20"/>
      <c r="P226" s="9"/>
    </row>
    <row r="227" spans="1:16" s="8" customFormat="1" x14ac:dyDescent="0.25">
      <c r="A227" s="16"/>
      <c r="B227" s="17"/>
      <c r="C227" s="22"/>
      <c r="D227" s="18"/>
      <c r="E227" s="18"/>
      <c r="F227" s="19"/>
      <c r="G227" s="23"/>
      <c r="H227" s="25"/>
      <c r="I227" s="25"/>
      <c r="J227" s="21"/>
      <c r="K227" s="23"/>
      <c r="L227" s="21"/>
      <c r="M227" s="23"/>
      <c r="O227" s="20"/>
      <c r="P227" s="9"/>
    </row>
    <row r="228" spans="1:16" s="8" customFormat="1" x14ac:dyDescent="0.25">
      <c r="A228" s="16"/>
      <c r="B228" s="17"/>
      <c r="C228" s="22"/>
      <c r="D228" s="18"/>
      <c r="E228" s="18"/>
      <c r="F228" s="19"/>
      <c r="G228" s="23"/>
      <c r="H228" s="25"/>
      <c r="I228" s="25"/>
      <c r="J228" s="21"/>
      <c r="K228" s="23"/>
      <c r="L228" s="21"/>
      <c r="M228" s="23"/>
      <c r="O228" s="20"/>
      <c r="P228" s="9"/>
    </row>
    <row r="229" spans="1:16" s="8" customFormat="1" x14ac:dyDescent="0.25">
      <c r="A229" s="16"/>
      <c r="B229" s="17"/>
      <c r="C229" s="22"/>
      <c r="D229" s="18"/>
      <c r="E229" s="18"/>
      <c r="F229" s="19"/>
      <c r="G229" s="23"/>
      <c r="H229" s="25"/>
      <c r="I229" s="25"/>
      <c r="J229" s="21"/>
      <c r="K229" s="23"/>
      <c r="L229" s="21"/>
      <c r="M229" s="23"/>
      <c r="O229" s="20"/>
      <c r="P229" s="9"/>
    </row>
    <row r="230" spans="1:16" s="8" customFormat="1" x14ac:dyDescent="0.25">
      <c r="A230" s="16"/>
      <c r="B230" s="17"/>
      <c r="C230" s="22"/>
      <c r="D230" s="18"/>
      <c r="E230" s="18"/>
      <c r="F230" s="19"/>
      <c r="G230" s="23"/>
      <c r="H230" s="25"/>
      <c r="I230" s="25"/>
      <c r="J230" s="21"/>
      <c r="K230" s="23"/>
      <c r="L230" s="21"/>
      <c r="M230" s="23"/>
      <c r="O230" s="20"/>
      <c r="P230" s="9"/>
    </row>
    <row r="231" spans="1:16" s="8" customFormat="1" x14ac:dyDescent="0.25">
      <c r="A231" s="16"/>
      <c r="B231" s="17"/>
      <c r="C231" s="22"/>
      <c r="D231" s="18"/>
      <c r="E231" s="18"/>
      <c r="F231" s="19"/>
      <c r="G231" s="23"/>
      <c r="H231" s="25"/>
      <c r="I231" s="25"/>
      <c r="J231" s="21"/>
      <c r="K231" s="23"/>
      <c r="L231" s="21"/>
      <c r="M231" s="23"/>
      <c r="O231" s="20"/>
      <c r="P231" s="9"/>
    </row>
    <row r="232" spans="1:16" s="8" customFormat="1" x14ac:dyDescent="0.25">
      <c r="A232" s="16"/>
      <c r="B232" s="17"/>
      <c r="C232" s="22"/>
      <c r="D232" s="18"/>
      <c r="E232" s="18"/>
      <c r="F232" s="19"/>
      <c r="G232" s="23"/>
      <c r="H232" s="25"/>
      <c r="I232" s="25"/>
      <c r="J232" s="21"/>
      <c r="K232" s="23"/>
      <c r="L232" s="21"/>
      <c r="M232" s="23"/>
      <c r="O232" s="20"/>
      <c r="P232" s="9"/>
    </row>
    <row r="233" spans="1:16" s="8" customFormat="1" x14ac:dyDescent="0.25">
      <c r="A233" s="16"/>
      <c r="B233" s="17"/>
      <c r="C233" s="22"/>
      <c r="D233" s="18"/>
      <c r="E233" s="18"/>
      <c r="F233" s="19"/>
      <c r="G233" s="23"/>
      <c r="H233" s="25"/>
      <c r="I233" s="25"/>
      <c r="J233" s="21"/>
      <c r="K233" s="23"/>
      <c r="L233" s="21"/>
      <c r="M233" s="23"/>
      <c r="O233" s="20"/>
      <c r="P233" s="9"/>
    </row>
    <row r="234" spans="1:16" s="8" customFormat="1" x14ac:dyDescent="0.25">
      <c r="A234" s="16"/>
      <c r="B234" s="17"/>
      <c r="C234" s="22"/>
      <c r="D234" s="18"/>
      <c r="E234" s="18"/>
      <c r="F234" s="19"/>
      <c r="G234" s="23"/>
      <c r="H234" s="25"/>
      <c r="I234" s="25"/>
      <c r="J234" s="21"/>
      <c r="K234" s="23"/>
      <c r="L234" s="21"/>
      <c r="M234" s="23"/>
      <c r="O234" s="20"/>
      <c r="P234" s="9"/>
    </row>
    <row r="235" spans="1:16" s="8" customFormat="1" x14ac:dyDescent="0.25">
      <c r="A235" s="16"/>
      <c r="B235" s="17"/>
      <c r="C235" s="22"/>
      <c r="D235" s="18"/>
      <c r="E235" s="18"/>
      <c r="F235" s="19"/>
      <c r="G235" s="23"/>
      <c r="H235" s="25"/>
      <c r="I235" s="25"/>
      <c r="J235" s="21"/>
      <c r="K235" s="23"/>
      <c r="L235" s="21"/>
      <c r="M235" s="23"/>
      <c r="O235" s="20"/>
      <c r="P235" s="9"/>
    </row>
    <row r="236" spans="1:16" s="8" customFormat="1" x14ac:dyDescent="0.25">
      <c r="A236" s="16"/>
      <c r="B236" s="17"/>
      <c r="C236" s="22"/>
      <c r="D236" s="18"/>
      <c r="E236" s="18"/>
      <c r="F236" s="19"/>
      <c r="G236" s="23"/>
      <c r="H236" s="25"/>
      <c r="I236" s="25"/>
      <c r="J236" s="21"/>
      <c r="K236" s="23"/>
      <c r="L236" s="21"/>
      <c r="M236" s="23"/>
      <c r="O236" s="20"/>
      <c r="P236" s="9"/>
    </row>
    <row r="237" spans="1:16" s="8" customFormat="1" x14ac:dyDescent="0.25">
      <c r="A237" s="16"/>
      <c r="B237" s="17"/>
      <c r="C237" s="22"/>
      <c r="D237" s="18"/>
      <c r="E237" s="18"/>
      <c r="F237" s="19"/>
      <c r="G237" s="23"/>
      <c r="H237" s="25"/>
      <c r="I237" s="25"/>
      <c r="J237" s="21"/>
      <c r="K237" s="23"/>
      <c r="L237" s="21"/>
      <c r="M237" s="23"/>
      <c r="O237" s="20"/>
      <c r="P237" s="9"/>
    </row>
    <row r="238" spans="1:16" s="8" customFormat="1" x14ac:dyDescent="0.25">
      <c r="A238" s="16"/>
      <c r="B238" s="17"/>
      <c r="C238" s="22"/>
      <c r="D238" s="18"/>
      <c r="E238" s="18"/>
      <c r="F238" s="19"/>
      <c r="G238" s="23"/>
      <c r="H238" s="25"/>
      <c r="I238" s="25"/>
      <c r="J238" s="21"/>
      <c r="K238" s="23"/>
      <c r="L238" s="21"/>
      <c r="M238" s="23"/>
      <c r="O238" s="20"/>
      <c r="P238" s="9"/>
    </row>
    <row r="239" spans="1:16" s="8" customFormat="1" x14ac:dyDescent="0.25">
      <c r="A239" s="16"/>
      <c r="B239" s="17"/>
      <c r="C239" s="22"/>
      <c r="D239" s="18"/>
      <c r="E239" s="18"/>
      <c r="F239" s="19"/>
      <c r="G239" s="23"/>
      <c r="H239" s="25"/>
      <c r="I239" s="25"/>
      <c r="J239" s="21"/>
      <c r="K239" s="23"/>
      <c r="L239" s="21"/>
      <c r="M239" s="23"/>
      <c r="O239" s="20"/>
      <c r="P239" s="9"/>
    </row>
    <row r="240" spans="1:16" s="8" customFormat="1" x14ac:dyDescent="0.25">
      <c r="A240" s="16"/>
      <c r="B240" s="17"/>
      <c r="C240" s="22"/>
      <c r="D240" s="18"/>
      <c r="E240" s="18"/>
      <c r="F240" s="19"/>
      <c r="G240" s="23"/>
      <c r="H240" s="25"/>
      <c r="I240" s="25"/>
      <c r="J240" s="21"/>
      <c r="K240" s="23"/>
      <c r="L240" s="21"/>
      <c r="M240" s="23"/>
      <c r="O240" s="20"/>
      <c r="P240" s="9"/>
    </row>
    <row r="241" spans="1:16" s="8" customFormat="1" x14ac:dyDescent="0.25">
      <c r="A241" s="16"/>
      <c r="B241" s="17"/>
      <c r="C241" s="22"/>
      <c r="D241" s="18"/>
      <c r="E241" s="18"/>
      <c r="F241" s="19"/>
      <c r="G241" s="23"/>
      <c r="H241" s="25"/>
      <c r="I241" s="25"/>
      <c r="J241" s="21"/>
      <c r="K241" s="23"/>
      <c r="L241" s="21"/>
      <c r="M241" s="23"/>
      <c r="O241" s="20"/>
      <c r="P241" s="9"/>
    </row>
    <row r="242" spans="1:16" s="8" customFormat="1" x14ac:dyDescent="0.25">
      <c r="A242" s="16"/>
      <c r="B242" s="17"/>
      <c r="C242" s="22"/>
      <c r="D242" s="18"/>
      <c r="E242" s="18"/>
      <c r="F242" s="19"/>
      <c r="G242" s="23"/>
      <c r="H242" s="25"/>
      <c r="I242" s="25"/>
      <c r="J242" s="21"/>
      <c r="K242" s="23"/>
      <c r="L242" s="21"/>
      <c r="M242" s="23"/>
      <c r="O242" s="20"/>
      <c r="P242" s="9"/>
    </row>
    <row r="243" spans="1:16" s="8" customFormat="1" x14ac:dyDescent="0.25">
      <c r="A243" s="16"/>
      <c r="B243" s="17"/>
      <c r="C243" s="22"/>
      <c r="D243" s="18"/>
      <c r="E243" s="18"/>
      <c r="F243" s="19"/>
      <c r="G243" s="23"/>
      <c r="H243" s="25"/>
      <c r="I243" s="25"/>
      <c r="J243" s="21"/>
      <c r="K243" s="23"/>
      <c r="L243" s="21"/>
      <c r="M243" s="23"/>
      <c r="O243" s="20"/>
      <c r="P243" s="9"/>
    </row>
    <row r="244" spans="1:16" s="8" customFormat="1" x14ac:dyDescent="0.25">
      <c r="A244" s="16"/>
      <c r="B244" s="17"/>
      <c r="C244" s="22"/>
      <c r="D244" s="18"/>
      <c r="E244" s="18"/>
      <c r="F244" s="19"/>
      <c r="G244" s="23"/>
      <c r="H244" s="25"/>
      <c r="I244" s="25"/>
      <c r="J244" s="21"/>
      <c r="K244" s="23"/>
      <c r="L244" s="21"/>
      <c r="M244" s="23"/>
      <c r="O244" s="20"/>
      <c r="P244" s="9"/>
    </row>
    <row r="245" spans="1:16" s="8" customFormat="1" x14ac:dyDescent="0.25">
      <c r="A245" s="16"/>
      <c r="B245" s="17"/>
      <c r="C245" s="22"/>
      <c r="D245" s="18"/>
      <c r="E245" s="18"/>
      <c r="F245" s="19"/>
      <c r="G245" s="23"/>
      <c r="H245" s="25"/>
      <c r="I245" s="25"/>
      <c r="J245" s="21"/>
      <c r="K245" s="23"/>
      <c r="L245" s="21"/>
      <c r="M245" s="23"/>
      <c r="O245" s="20"/>
      <c r="P245" s="9"/>
    </row>
    <row r="246" spans="1:16" s="8" customFormat="1" x14ac:dyDescent="0.25">
      <c r="A246" s="16"/>
      <c r="B246" s="17"/>
      <c r="C246" s="22"/>
      <c r="D246" s="18"/>
      <c r="E246" s="18"/>
      <c r="F246" s="19"/>
      <c r="G246" s="23"/>
      <c r="H246" s="25"/>
      <c r="I246" s="25"/>
      <c r="J246" s="21"/>
      <c r="K246" s="23"/>
      <c r="L246" s="21"/>
      <c r="M246" s="23"/>
      <c r="O246" s="20"/>
      <c r="P246" s="9"/>
    </row>
    <row r="247" spans="1:16" s="8" customFormat="1" x14ac:dyDescent="0.25">
      <c r="A247" s="16"/>
      <c r="B247" s="17"/>
      <c r="C247" s="22"/>
      <c r="D247" s="18"/>
      <c r="E247" s="18"/>
      <c r="F247" s="19"/>
      <c r="G247" s="23"/>
      <c r="H247" s="25"/>
      <c r="I247" s="25"/>
      <c r="J247" s="21"/>
      <c r="K247" s="23"/>
      <c r="L247" s="21"/>
      <c r="M247" s="23"/>
      <c r="O247" s="20"/>
      <c r="P247" s="9"/>
    </row>
    <row r="248" spans="1:16" s="8" customFormat="1" x14ac:dyDescent="0.25">
      <c r="A248" s="16"/>
      <c r="B248" s="17"/>
      <c r="C248" s="22"/>
      <c r="D248" s="18"/>
      <c r="E248" s="18"/>
      <c r="F248" s="19"/>
      <c r="G248" s="23"/>
      <c r="H248" s="25"/>
      <c r="I248" s="25"/>
      <c r="J248" s="21"/>
      <c r="K248" s="23"/>
      <c r="L248" s="21"/>
      <c r="M248" s="23"/>
      <c r="O248" s="20"/>
      <c r="P248" s="9"/>
    </row>
    <row r="249" spans="1:16" s="8" customFormat="1" x14ac:dyDescent="0.25">
      <c r="A249" s="16"/>
      <c r="B249" s="17"/>
      <c r="C249" s="22"/>
      <c r="D249" s="18"/>
      <c r="E249" s="18"/>
      <c r="F249" s="19"/>
      <c r="G249" s="23"/>
      <c r="H249" s="25"/>
      <c r="I249" s="25"/>
      <c r="J249" s="21"/>
      <c r="K249" s="23"/>
      <c r="L249" s="21"/>
      <c r="M249" s="23"/>
      <c r="O249" s="20"/>
      <c r="P249" s="9"/>
    </row>
  </sheetData>
  <autoFilter ref="A1:R11">
    <sortState ref="A2:Q81">
      <sortCondition ref="D1:D11"/>
    </sortState>
  </autoFilter>
  <conditionalFormatting sqref="N1:XFD1 H1:J1 A1:F1">
    <cfRule type="beginsWith" dxfId="22" priority="51" operator="beginsWith" text="[K_">
      <formula>LEFT(A1,LEN("[K_"))="[K_"</formula>
    </cfRule>
  </conditionalFormatting>
  <conditionalFormatting sqref="K1">
    <cfRule type="beginsWith" dxfId="21" priority="40" operator="beginsWith" text="[K_">
      <formula>LEFT(K1,LEN("[K_"))="[K_"</formula>
    </cfRule>
  </conditionalFormatting>
  <conditionalFormatting sqref="D106:E172 D250:E1048576 D1:E3 D7:E75">
    <cfRule type="duplicateValues" dxfId="20" priority="35"/>
  </conditionalFormatting>
  <conditionalFormatting sqref="D86:E105">
    <cfRule type="duplicateValues" dxfId="19" priority="31"/>
  </conditionalFormatting>
  <conditionalFormatting sqref="D76:E78 D80:E85">
    <cfRule type="duplicateValues" dxfId="18" priority="80"/>
  </conditionalFormatting>
  <conditionalFormatting sqref="C250:C1048576 C1:C3 C78 C82 C86 C90 C94 C98 C102 C106 C110 C114 C118 C122 C126 C130 C134 C138 C142 C146 C150 C154 C158 C162 C166 C170 C7 C11 C19 C27 C35 C43 C51 C59 C15 C23 C31 C39 C47 C55 C63 C67 C71">
    <cfRule type="duplicateValues" dxfId="17" priority="25"/>
  </conditionalFormatting>
  <conditionalFormatting sqref="D79:E79">
    <cfRule type="duplicateValues" dxfId="16" priority="22"/>
  </conditionalFormatting>
  <conditionalFormatting sqref="D4:E4">
    <cfRule type="duplicateValues" dxfId="15" priority="19"/>
  </conditionalFormatting>
  <conditionalFormatting sqref="C75 C4 C79 C83 C87 C91 C95 C99 C103 C107 C111 C115 C119 C123 C127 C131 C135 C139 C143 C147 C151 C155 C159 C163 C167 C171 C8 C12 C20 C28 C36 C44 C52 C60 C16 C24 C32 C40 C48 C56 C68">
    <cfRule type="duplicateValues" dxfId="14" priority="18"/>
  </conditionalFormatting>
  <conditionalFormatting sqref="D5:E6">
    <cfRule type="duplicateValues" dxfId="13" priority="15"/>
  </conditionalFormatting>
  <conditionalFormatting sqref="C76:C77 C5:C6 C80:C81 C84:C85 C88:C89 C92:C93 C96:C97 C100:C101 C104:C105 C108:C109 C112:C113 C116:C117 C120:C121 C124:C125 C128:C129 C132:C133 C136:C137 C140:C141 C144:C145 C148:C149 C152:C153 C156:C157 C160:C161 C164:C165 C168:C169 C172 C9:C10 C13:C14 C21:C22 C29:C30 C37:C38 C45:C46 C53:C54 C61:C62 C17:C18 C25:C26 C33:C34 C41:C42 C49:C50 C57:C58 C69:C70 C64:C66 C72:C74">
    <cfRule type="duplicateValues" dxfId="12" priority="14"/>
  </conditionalFormatting>
  <conditionalFormatting sqref="H3:J3 H5:I5 H7:I7 H9:I9 H11:I11 H13:I13 H15:I15 H17:I17 H19:I19 H21:I21 H23:I23 H25:I25 H27:I27 H29:I29 H31:I31 H33:I33 H35:I35 H37:I37 H39:I39 H41:I41 H43:I43 H45:I45 H47:I47 H49:I49 H51:I51 H53:I53 H55:I55 H57:I57 H59:I59 H61:I61 H63:I64 H66:I66 H68:I68 B3:B74">
    <cfRule type="beginsWith" dxfId="11" priority="42" operator="beginsWith" text="[K_">
      <formula>LEFT(#REF!,LEN("[K_"))="[K_"</formula>
    </cfRule>
  </conditionalFormatting>
  <conditionalFormatting sqref="H4:J4 H6:I6 H8:I8 H10:I10 H12:I12 H14:I14 H16:I16 H18:I18 H20:I20 H22:I22 H24:I24 H26:I26 H28:I28 H30:I30 H32:I32 H34:I34 H36:I36 H38:I38 H40:I40 H42:I42 H44:I44 H46:I46 H48:I48 H50:I50 H52:I52 H54:I54 H56:I56 H58:I58 H60:I60 H62:I62 H65:I65 H67:I67 H69:I69 J5:J69 L4:L69">
    <cfRule type="beginsWith" dxfId="10" priority="20" operator="beginsWith" text="[K_">
      <formula>LEFT(#REF!,LEN("[K_"))="[K_"</formula>
    </cfRule>
  </conditionalFormatting>
  <conditionalFormatting sqref="H70:J172 B75:B172">
    <cfRule type="beginsWith" dxfId="9" priority="16" operator="beginsWith" text="[K_">
      <formula>LEFT(#REF!,LEN("[K_"))="[K_"</formula>
    </cfRule>
  </conditionalFormatting>
  <conditionalFormatting sqref="D173:E249">
    <cfRule type="duplicateValues" dxfId="8" priority="12"/>
  </conditionalFormatting>
  <conditionalFormatting sqref="C173:C249">
    <cfRule type="duplicateValues" dxfId="7" priority="10"/>
  </conditionalFormatting>
  <conditionalFormatting sqref="H173:J249 B173:B249">
    <cfRule type="beginsWith" dxfId="6" priority="11" operator="beginsWith" text="[K_">
      <formula>LEFT(#REF!,LEN("[K_"))="[K_"</formula>
    </cfRule>
  </conditionalFormatting>
  <conditionalFormatting sqref="G1">
    <cfRule type="beginsWith" dxfId="5" priority="7" operator="beginsWith" text="[K_">
      <formula>LEFT(G1,LEN("[K_"))="[K_"</formula>
    </cfRule>
  </conditionalFormatting>
  <conditionalFormatting sqref="M1">
    <cfRule type="beginsWith" dxfId="4" priority="6" operator="beginsWith" text="[K_">
      <formula>LEFT(M1,LEN("[K_"))="[K_"</formula>
    </cfRule>
  </conditionalFormatting>
  <conditionalFormatting sqref="L1">
    <cfRule type="beginsWith" dxfId="3" priority="5" operator="beginsWith" text="[K_">
      <formula>LEFT(L1,LEN("[K_"))="[K_"</formula>
    </cfRule>
  </conditionalFormatting>
  <conditionalFormatting sqref="L3">
    <cfRule type="beginsWith" dxfId="2" priority="4" operator="beginsWith" text="[K_">
      <formula>LEFT(#REF!,LEN("[K_"))="[K_"</formula>
    </cfRule>
  </conditionalFormatting>
  <conditionalFormatting sqref="L70:L172">
    <cfRule type="beginsWith" dxfId="1" priority="2" operator="beginsWith" text="[K_">
      <formula>LEFT(#REF!,LEN("[K_"))="[K_"</formula>
    </cfRule>
  </conditionalFormatting>
  <conditionalFormatting sqref="L173:L249">
    <cfRule type="beginsWith" dxfId="0" priority="1" operator="beginsWith" text="[K_">
      <formula>LEFT(#REF!,LEN("[K_"))="[K_"</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70"/>
  <sheetViews>
    <sheetView workbookViewId="0">
      <selection activeCell="H11" sqref="H11"/>
    </sheetView>
  </sheetViews>
  <sheetFormatPr defaultRowHeight="15" x14ac:dyDescent="0.25"/>
  <cols>
    <col min="3" max="3" width="17.28515625" bestFit="1" customWidth="1"/>
    <col min="5" max="5" width="22.28515625" bestFit="1" customWidth="1"/>
  </cols>
  <sheetData>
    <row r="3" spans="2:6" x14ac:dyDescent="0.25">
      <c r="C3" t="s">
        <v>77</v>
      </c>
      <c r="E3" t="s">
        <v>87</v>
      </c>
    </row>
    <row r="4" spans="2:6" x14ac:dyDescent="0.25">
      <c r="B4">
        <v>10</v>
      </c>
      <c r="C4" t="s">
        <v>78</v>
      </c>
      <c r="E4" t="s">
        <v>5</v>
      </c>
      <c r="F4">
        <v>70</v>
      </c>
    </row>
    <row r="5" spans="2:6" x14ac:dyDescent="0.25">
      <c r="B5">
        <v>20</v>
      </c>
      <c r="C5" t="s">
        <v>79</v>
      </c>
      <c r="E5" t="s">
        <v>6</v>
      </c>
      <c r="F5">
        <v>70</v>
      </c>
    </row>
    <row r="6" spans="2:6" x14ac:dyDescent="0.25">
      <c r="B6">
        <v>30</v>
      </c>
      <c r="C6" t="s">
        <v>80</v>
      </c>
      <c r="E6" t="s">
        <v>7</v>
      </c>
      <c r="F6">
        <v>70</v>
      </c>
    </row>
    <row r="7" spans="2:6" x14ac:dyDescent="0.25">
      <c r="B7">
        <v>40</v>
      </c>
      <c r="C7" t="s">
        <v>81</v>
      </c>
      <c r="E7" t="s">
        <v>8</v>
      </c>
      <c r="F7">
        <v>70</v>
      </c>
    </row>
    <row r="8" spans="2:6" x14ac:dyDescent="0.25">
      <c r="B8">
        <v>50</v>
      </c>
      <c r="C8" t="s">
        <v>82</v>
      </c>
      <c r="E8" t="s">
        <v>9</v>
      </c>
      <c r="F8">
        <v>60</v>
      </c>
    </row>
    <row r="9" spans="2:6" x14ac:dyDescent="0.25">
      <c r="B9">
        <v>60</v>
      </c>
      <c r="C9" t="s">
        <v>83</v>
      </c>
      <c r="E9" t="s">
        <v>10</v>
      </c>
      <c r="F9">
        <v>60</v>
      </c>
    </row>
    <row r="10" spans="2:6" x14ac:dyDescent="0.25">
      <c r="B10">
        <v>70</v>
      </c>
      <c r="C10" t="s">
        <v>84</v>
      </c>
      <c r="E10" t="s">
        <v>11</v>
      </c>
      <c r="F10">
        <v>60</v>
      </c>
    </row>
    <row r="11" spans="2:6" x14ac:dyDescent="0.25">
      <c r="B11">
        <v>80</v>
      </c>
      <c r="C11" t="s">
        <v>85</v>
      </c>
      <c r="E11" t="s">
        <v>12</v>
      </c>
      <c r="F11">
        <v>20</v>
      </c>
    </row>
    <row r="12" spans="2:6" x14ac:dyDescent="0.25">
      <c r="B12">
        <v>90</v>
      </c>
      <c r="C12" t="s">
        <v>86</v>
      </c>
      <c r="E12" t="s">
        <v>13</v>
      </c>
      <c r="F12">
        <v>20</v>
      </c>
    </row>
    <row r="13" spans="2:6" x14ac:dyDescent="0.25">
      <c r="E13" t="s">
        <v>14</v>
      </c>
      <c r="F13">
        <v>20</v>
      </c>
    </row>
    <row r="14" spans="2:6" x14ac:dyDescent="0.25">
      <c r="E14" t="s">
        <v>15</v>
      </c>
      <c r="F14">
        <v>60</v>
      </c>
    </row>
    <row r="15" spans="2:6" x14ac:dyDescent="0.25">
      <c r="E15" t="s">
        <v>16</v>
      </c>
      <c r="F15">
        <v>60</v>
      </c>
    </row>
    <row r="16" spans="2:6" x14ac:dyDescent="0.25">
      <c r="E16" t="s">
        <v>17</v>
      </c>
      <c r="F16">
        <v>10</v>
      </c>
    </row>
    <row r="17" spans="5:6" x14ac:dyDescent="0.25">
      <c r="E17" t="s">
        <v>18</v>
      </c>
      <c r="F17">
        <v>60</v>
      </c>
    </row>
    <row r="18" spans="5:6" x14ac:dyDescent="0.25">
      <c r="E18" t="s">
        <v>19</v>
      </c>
      <c r="F18">
        <v>60</v>
      </c>
    </row>
    <row r="19" spans="5:6" x14ac:dyDescent="0.25">
      <c r="E19" t="s">
        <v>20</v>
      </c>
      <c r="F19">
        <v>20</v>
      </c>
    </row>
    <row r="20" spans="5:6" x14ac:dyDescent="0.25">
      <c r="E20" t="s">
        <v>21</v>
      </c>
      <c r="F20">
        <v>40</v>
      </c>
    </row>
    <row r="21" spans="5:6" x14ac:dyDescent="0.25">
      <c r="E21" t="s">
        <v>22</v>
      </c>
      <c r="F21">
        <v>80</v>
      </c>
    </row>
    <row r="22" spans="5:6" x14ac:dyDescent="0.25">
      <c r="E22" t="s">
        <v>23</v>
      </c>
      <c r="F22">
        <v>40</v>
      </c>
    </row>
    <row r="23" spans="5:6" x14ac:dyDescent="0.25">
      <c r="E23" t="s">
        <v>24</v>
      </c>
      <c r="F23">
        <v>70</v>
      </c>
    </row>
    <row r="24" spans="5:6" x14ac:dyDescent="0.25">
      <c r="E24" t="s">
        <v>25</v>
      </c>
      <c r="F24">
        <v>40</v>
      </c>
    </row>
    <row r="25" spans="5:6" x14ac:dyDescent="0.25">
      <c r="E25" t="s">
        <v>26</v>
      </c>
      <c r="F25">
        <v>60</v>
      </c>
    </row>
    <row r="26" spans="5:6" x14ac:dyDescent="0.25">
      <c r="E26" t="s">
        <v>27</v>
      </c>
      <c r="F26">
        <v>10</v>
      </c>
    </row>
    <row r="27" spans="5:6" x14ac:dyDescent="0.25">
      <c r="E27" t="s">
        <v>28</v>
      </c>
      <c r="F27">
        <v>60</v>
      </c>
    </row>
    <row r="28" spans="5:6" x14ac:dyDescent="0.25">
      <c r="E28" t="s">
        <v>29</v>
      </c>
      <c r="F28">
        <v>10</v>
      </c>
    </row>
    <row r="29" spans="5:6" x14ac:dyDescent="0.25">
      <c r="E29" t="s">
        <v>30</v>
      </c>
      <c r="F29">
        <v>20</v>
      </c>
    </row>
    <row r="30" spans="5:6" x14ac:dyDescent="0.25">
      <c r="E30" t="s">
        <v>31</v>
      </c>
      <c r="F30">
        <v>30</v>
      </c>
    </row>
    <row r="31" spans="5:6" x14ac:dyDescent="0.25">
      <c r="E31" t="s">
        <v>32</v>
      </c>
      <c r="F31">
        <v>30</v>
      </c>
    </row>
    <row r="32" spans="5:6" x14ac:dyDescent="0.25">
      <c r="E32" t="s">
        <v>33</v>
      </c>
      <c r="F32">
        <v>30</v>
      </c>
    </row>
    <row r="33" spans="5:6" x14ac:dyDescent="0.25">
      <c r="E33" t="s">
        <v>34</v>
      </c>
      <c r="F33">
        <v>60</v>
      </c>
    </row>
    <row r="34" spans="5:6" x14ac:dyDescent="0.25">
      <c r="E34" t="s">
        <v>35</v>
      </c>
      <c r="F34">
        <v>90</v>
      </c>
    </row>
    <row r="35" spans="5:6" x14ac:dyDescent="0.25">
      <c r="E35" t="s">
        <v>36</v>
      </c>
      <c r="F35">
        <v>60</v>
      </c>
    </row>
    <row r="36" spans="5:6" x14ac:dyDescent="0.25">
      <c r="E36" t="s">
        <v>37</v>
      </c>
      <c r="F36">
        <v>10</v>
      </c>
    </row>
    <row r="37" spans="5:6" x14ac:dyDescent="0.25">
      <c r="E37" t="s">
        <v>38</v>
      </c>
      <c r="F37">
        <v>10</v>
      </c>
    </row>
    <row r="38" spans="5:6" x14ac:dyDescent="0.25">
      <c r="E38" t="s">
        <v>39</v>
      </c>
      <c r="F38">
        <v>50</v>
      </c>
    </row>
    <row r="39" spans="5:6" x14ac:dyDescent="0.25">
      <c r="E39" t="s">
        <v>40</v>
      </c>
      <c r="F39">
        <v>40</v>
      </c>
    </row>
    <row r="40" spans="5:6" x14ac:dyDescent="0.25">
      <c r="E40" t="s">
        <v>41</v>
      </c>
      <c r="F40">
        <v>10</v>
      </c>
    </row>
    <row r="41" spans="5:6" x14ac:dyDescent="0.25">
      <c r="E41" t="s">
        <v>42</v>
      </c>
      <c r="F41">
        <v>50</v>
      </c>
    </row>
    <row r="42" spans="5:6" x14ac:dyDescent="0.25">
      <c r="E42" t="s">
        <v>43</v>
      </c>
      <c r="F42">
        <v>50</v>
      </c>
    </row>
    <row r="43" spans="5:6" x14ac:dyDescent="0.25">
      <c r="E43" t="s">
        <v>44</v>
      </c>
      <c r="F43">
        <v>50</v>
      </c>
    </row>
    <row r="44" spans="5:6" x14ac:dyDescent="0.25">
      <c r="E44" t="s">
        <v>45</v>
      </c>
      <c r="F44">
        <v>50</v>
      </c>
    </row>
    <row r="45" spans="5:6" x14ac:dyDescent="0.25">
      <c r="E45" t="s">
        <v>46</v>
      </c>
      <c r="F45">
        <v>40</v>
      </c>
    </row>
    <row r="46" spans="5:6" x14ac:dyDescent="0.25">
      <c r="E46" t="s">
        <v>47</v>
      </c>
      <c r="F46">
        <v>20</v>
      </c>
    </row>
    <row r="47" spans="5:6" x14ac:dyDescent="0.25">
      <c r="E47" t="s">
        <v>48</v>
      </c>
      <c r="F47">
        <v>60</v>
      </c>
    </row>
    <row r="48" spans="5:6" x14ac:dyDescent="0.25">
      <c r="E48" t="s">
        <v>49</v>
      </c>
      <c r="F48">
        <v>20</v>
      </c>
    </row>
    <row r="49" spans="5:6" x14ac:dyDescent="0.25">
      <c r="E49" t="s">
        <v>50</v>
      </c>
      <c r="F49">
        <v>60</v>
      </c>
    </row>
    <row r="50" spans="5:6" x14ac:dyDescent="0.25">
      <c r="E50" t="s">
        <v>51</v>
      </c>
      <c r="F50">
        <v>70</v>
      </c>
    </row>
    <row r="51" spans="5:6" x14ac:dyDescent="0.25">
      <c r="E51" t="s">
        <v>52</v>
      </c>
      <c r="F51">
        <v>70</v>
      </c>
    </row>
    <row r="52" spans="5:6" x14ac:dyDescent="0.25">
      <c r="E52" t="s">
        <v>53</v>
      </c>
      <c r="F52">
        <v>40</v>
      </c>
    </row>
    <row r="53" spans="5:6" x14ac:dyDescent="0.25">
      <c r="E53" t="s">
        <v>54</v>
      </c>
      <c r="F53">
        <v>60</v>
      </c>
    </row>
    <row r="54" spans="5:6" x14ac:dyDescent="0.25">
      <c r="E54" t="s">
        <v>55</v>
      </c>
      <c r="F54">
        <v>90</v>
      </c>
    </row>
    <row r="55" spans="5:6" x14ac:dyDescent="0.25">
      <c r="E55" t="s">
        <v>56</v>
      </c>
      <c r="F55">
        <v>90</v>
      </c>
    </row>
    <row r="56" spans="5:6" x14ac:dyDescent="0.25">
      <c r="E56" t="s">
        <v>57</v>
      </c>
      <c r="F56">
        <v>90</v>
      </c>
    </row>
    <row r="57" spans="5:6" x14ac:dyDescent="0.25">
      <c r="E57" t="s">
        <v>58</v>
      </c>
      <c r="F57">
        <v>80</v>
      </c>
    </row>
    <row r="58" spans="5:6" x14ac:dyDescent="0.25">
      <c r="E58" t="s">
        <v>59</v>
      </c>
      <c r="F58">
        <v>80</v>
      </c>
    </row>
    <row r="59" spans="5:6" x14ac:dyDescent="0.25">
      <c r="E59" t="s">
        <v>60</v>
      </c>
      <c r="F59">
        <v>60</v>
      </c>
    </row>
    <row r="60" spans="5:6" x14ac:dyDescent="0.25">
      <c r="E60" t="s">
        <v>61</v>
      </c>
      <c r="F60">
        <v>90</v>
      </c>
    </row>
    <row r="61" spans="5:6" x14ac:dyDescent="0.25">
      <c r="E61" t="s">
        <v>62</v>
      </c>
      <c r="F61">
        <v>20</v>
      </c>
    </row>
    <row r="62" spans="5:6" x14ac:dyDescent="0.25">
      <c r="E62" t="s">
        <v>63</v>
      </c>
      <c r="F62">
        <v>80</v>
      </c>
    </row>
    <row r="63" spans="5:6" x14ac:dyDescent="0.25">
      <c r="E63" t="s">
        <v>64</v>
      </c>
      <c r="F63">
        <v>80</v>
      </c>
    </row>
    <row r="64" spans="5:6" x14ac:dyDescent="0.25">
      <c r="E64" t="s">
        <v>65</v>
      </c>
      <c r="F64">
        <v>30</v>
      </c>
    </row>
    <row r="65" spans="5:6" x14ac:dyDescent="0.25">
      <c r="E65" t="s">
        <v>66</v>
      </c>
      <c r="F65">
        <v>60</v>
      </c>
    </row>
    <row r="66" spans="5:6" x14ac:dyDescent="0.25">
      <c r="E66" t="s">
        <v>67</v>
      </c>
      <c r="F66">
        <v>80</v>
      </c>
    </row>
    <row r="67" spans="5:6" x14ac:dyDescent="0.25">
      <c r="E67" t="s">
        <v>68</v>
      </c>
      <c r="F67">
        <v>30</v>
      </c>
    </row>
    <row r="68" spans="5:6" x14ac:dyDescent="0.25">
      <c r="E68" t="s">
        <v>69</v>
      </c>
      <c r="F68">
        <v>80</v>
      </c>
    </row>
    <row r="69" spans="5:6" x14ac:dyDescent="0.25">
      <c r="E69" t="s">
        <v>70</v>
      </c>
      <c r="F69">
        <v>50</v>
      </c>
    </row>
    <row r="70" spans="5:6" x14ac:dyDescent="0.25">
      <c r="E70" t="s">
        <v>71</v>
      </c>
      <c r="F70">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A83"/>
  <sheetViews>
    <sheetView topLeftCell="A60" workbookViewId="0">
      <selection activeCell="B81" sqref="B81"/>
    </sheetView>
  </sheetViews>
  <sheetFormatPr defaultRowHeight="15" x14ac:dyDescent="0.25"/>
  <cols>
    <col min="6" max="6" width="11.85546875" customWidth="1"/>
    <col min="7" max="7" width="0" hidden="1" customWidth="1"/>
    <col min="8" max="8" width="19.42578125" hidden="1" customWidth="1"/>
    <col min="9" max="9" width="4" customWidth="1"/>
    <col min="15" max="15" width="30.85546875" customWidth="1"/>
    <col min="16" max="16" width="27.140625" bestFit="1" customWidth="1"/>
  </cols>
  <sheetData>
    <row r="2" spans="1:27" x14ac:dyDescent="0.25">
      <c r="A2" t="s">
        <v>413</v>
      </c>
      <c r="B2" t="s">
        <v>414</v>
      </c>
      <c r="C2" t="s">
        <v>415</v>
      </c>
      <c r="D2" t="s">
        <v>416</v>
      </c>
      <c r="E2" t="s">
        <v>417</v>
      </c>
      <c r="F2" t="s">
        <v>418</v>
      </c>
      <c r="G2" t="s">
        <v>419</v>
      </c>
      <c r="H2" t="s">
        <v>420</v>
      </c>
      <c r="J2" t="s">
        <v>421</v>
      </c>
      <c r="K2" t="s">
        <v>422</v>
      </c>
      <c r="L2" t="s">
        <v>423</v>
      </c>
      <c r="M2" t="s">
        <v>424</v>
      </c>
      <c r="N2" t="s">
        <v>425</v>
      </c>
      <c r="O2" t="s">
        <v>426</v>
      </c>
      <c r="P2" t="s">
        <v>427</v>
      </c>
      <c r="Q2" t="s">
        <v>428</v>
      </c>
      <c r="R2" t="s">
        <v>429</v>
      </c>
      <c r="S2" t="s">
        <v>430</v>
      </c>
      <c r="T2" t="s">
        <v>431</v>
      </c>
      <c r="U2" t="s">
        <v>432</v>
      </c>
      <c r="V2" t="s">
        <v>433</v>
      </c>
      <c r="W2" t="s">
        <v>434</v>
      </c>
      <c r="X2" t="s">
        <v>435</v>
      </c>
      <c r="Y2" t="s">
        <v>436</v>
      </c>
      <c r="Z2" t="s">
        <v>437</v>
      </c>
      <c r="AA2" t="s">
        <v>438</v>
      </c>
    </row>
    <row r="3" spans="1:27" x14ac:dyDescent="0.25">
      <c r="A3">
        <v>41</v>
      </c>
      <c r="B3" t="s">
        <v>439</v>
      </c>
      <c r="C3" t="s">
        <v>440</v>
      </c>
      <c r="D3" t="s">
        <v>441</v>
      </c>
      <c r="E3" t="s">
        <v>442</v>
      </c>
      <c r="F3" t="s">
        <v>443</v>
      </c>
      <c r="G3" t="s">
        <v>444</v>
      </c>
      <c r="H3" t="s">
        <v>445</v>
      </c>
      <c r="J3">
        <v>41</v>
      </c>
      <c r="K3" t="s">
        <v>446</v>
      </c>
      <c r="L3" t="s">
        <v>447</v>
      </c>
      <c r="M3" t="s">
        <v>448</v>
      </c>
      <c r="N3" t="s">
        <v>449</v>
      </c>
      <c r="O3" t="s">
        <v>450</v>
      </c>
      <c r="P3" t="s">
        <v>451</v>
      </c>
      <c r="Q3" t="s">
        <v>452</v>
      </c>
      <c r="R3">
        <v>7</v>
      </c>
      <c r="S3">
        <v>30</v>
      </c>
      <c r="T3">
        <v>6142</v>
      </c>
      <c r="U3">
        <v>139</v>
      </c>
      <c r="V3" s="30">
        <v>44004.427135266204</v>
      </c>
      <c r="W3">
        <v>139</v>
      </c>
      <c r="X3" s="30">
        <v>44004.427135266204</v>
      </c>
      <c r="Y3">
        <v>0</v>
      </c>
      <c r="Z3" t="s">
        <v>453</v>
      </c>
      <c r="AA3" t="s">
        <v>453</v>
      </c>
    </row>
    <row r="4" spans="1:27" x14ac:dyDescent="0.25">
      <c r="A4">
        <v>42</v>
      </c>
      <c r="B4" t="s">
        <v>454</v>
      </c>
      <c r="C4" t="s">
        <v>455</v>
      </c>
      <c r="D4" t="s">
        <v>456</v>
      </c>
      <c r="E4">
        <v>12340</v>
      </c>
      <c r="F4" t="s">
        <v>457</v>
      </c>
      <c r="G4" t="s">
        <v>458</v>
      </c>
      <c r="H4" t="s">
        <v>445</v>
      </c>
      <c r="J4">
        <v>42</v>
      </c>
      <c r="K4" t="s">
        <v>459</v>
      </c>
      <c r="L4" t="s">
        <v>460</v>
      </c>
      <c r="M4" t="s">
        <v>461</v>
      </c>
      <c r="N4" t="s">
        <v>462</v>
      </c>
      <c r="O4" t="s">
        <v>463</v>
      </c>
      <c r="P4">
        <v>12340</v>
      </c>
      <c r="Q4" t="s">
        <v>452</v>
      </c>
      <c r="R4">
        <v>12</v>
      </c>
      <c r="S4">
        <v>20</v>
      </c>
      <c r="T4">
        <v>181</v>
      </c>
      <c r="U4">
        <v>139</v>
      </c>
      <c r="V4" s="30">
        <v>44004.427135266204</v>
      </c>
      <c r="W4">
        <v>139</v>
      </c>
      <c r="X4" s="30">
        <v>44004.427135266204</v>
      </c>
      <c r="Y4">
        <v>0</v>
      </c>
      <c r="Z4" t="s">
        <v>453</v>
      </c>
      <c r="AA4" t="s">
        <v>453</v>
      </c>
    </row>
    <row r="5" spans="1:27" x14ac:dyDescent="0.25">
      <c r="A5">
        <v>43</v>
      </c>
      <c r="B5" t="s">
        <v>464</v>
      </c>
      <c r="C5" t="s">
        <v>465</v>
      </c>
      <c r="D5" t="s">
        <v>466</v>
      </c>
      <c r="E5" t="s">
        <v>467</v>
      </c>
      <c r="F5" t="s">
        <v>468</v>
      </c>
      <c r="G5" t="s">
        <v>469</v>
      </c>
      <c r="H5" t="s">
        <v>470</v>
      </c>
      <c r="J5">
        <v>43</v>
      </c>
      <c r="K5" t="s">
        <v>471</v>
      </c>
      <c r="L5" t="s">
        <v>472</v>
      </c>
      <c r="M5" t="s">
        <v>473</v>
      </c>
      <c r="N5" t="s">
        <v>474</v>
      </c>
      <c r="O5" t="s">
        <v>475</v>
      </c>
      <c r="P5" t="s">
        <v>476</v>
      </c>
      <c r="Q5" t="s">
        <v>477</v>
      </c>
      <c r="R5">
        <v>9</v>
      </c>
      <c r="S5">
        <v>50</v>
      </c>
      <c r="T5">
        <v>52</v>
      </c>
      <c r="U5">
        <v>139</v>
      </c>
      <c r="V5" s="30">
        <v>44004.427135300924</v>
      </c>
      <c r="W5">
        <v>139</v>
      </c>
      <c r="X5" s="30">
        <v>44004.427135300924</v>
      </c>
      <c r="Y5">
        <v>0</v>
      </c>
      <c r="Z5" t="s">
        <v>453</v>
      </c>
      <c r="AA5" t="s">
        <v>453</v>
      </c>
    </row>
    <row r="6" spans="1:27" x14ac:dyDescent="0.25">
      <c r="A6">
        <v>44</v>
      </c>
      <c r="B6" t="s">
        <v>478</v>
      </c>
      <c r="C6" t="s">
        <v>479</v>
      </c>
      <c r="D6" t="s">
        <v>480</v>
      </c>
      <c r="E6" t="s">
        <v>481</v>
      </c>
      <c r="F6" t="s">
        <v>482</v>
      </c>
      <c r="G6" t="s">
        <v>483</v>
      </c>
      <c r="H6" t="s">
        <v>470</v>
      </c>
      <c r="J6">
        <v>44</v>
      </c>
      <c r="K6" t="s">
        <v>484</v>
      </c>
      <c r="L6" t="s">
        <v>485</v>
      </c>
      <c r="M6" t="s">
        <v>486</v>
      </c>
      <c r="N6" t="s">
        <v>487</v>
      </c>
      <c r="O6" t="s">
        <v>488</v>
      </c>
      <c r="P6" t="s">
        <v>489</v>
      </c>
      <c r="Q6" t="s">
        <v>477</v>
      </c>
      <c r="R6">
        <v>6</v>
      </c>
      <c r="S6">
        <v>40</v>
      </c>
      <c r="T6">
        <v>22</v>
      </c>
      <c r="U6">
        <v>139</v>
      </c>
      <c r="V6" s="30">
        <v>44004.427135300924</v>
      </c>
      <c r="W6">
        <v>139</v>
      </c>
      <c r="X6" s="30">
        <v>44004.427135300924</v>
      </c>
      <c r="Y6">
        <v>0</v>
      </c>
      <c r="Z6" t="s">
        <v>453</v>
      </c>
      <c r="AA6" t="s">
        <v>453</v>
      </c>
    </row>
    <row r="7" spans="1:27" x14ac:dyDescent="0.25">
      <c r="A7">
        <v>45</v>
      </c>
      <c r="B7" t="s">
        <v>490</v>
      </c>
      <c r="C7" t="s">
        <v>491</v>
      </c>
      <c r="D7" t="s">
        <v>492</v>
      </c>
      <c r="E7" t="s">
        <v>493</v>
      </c>
      <c r="F7" t="s">
        <v>494</v>
      </c>
      <c r="G7" t="s">
        <v>483</v>
      </c>
      <c r="H7" t="s">
        <v>445</v>
      </c>
      <c r="J7">
        <v>45</v>
      </c>
      <c r="K7" t="s">
        <v>495</v>
      </c>
      <c r="L7" t="s">
        <v>496</v>
      </c>
      <c r="M7" t="s">
        <v>497</v>
      </c>
      <c r="N7" t="s">
        <v>498</v>
      </c>
      <c r="O7" t="s">
        <v>499</v>
      </c>
      <c r="P7" t="s">
        <v>500</v>
      </c>
      <c r="Q7" t="s">
        <v>452</v>
      </c>
      <c r="R7">
        <v>3</v>
      </c>
      <c r="S7">
        <v>40</v>
      </c>
      <c r="T7">
        <v>999</v>
      </c>
      <c r="U7">
        <v>139</v>
      </c>
      <c r="V7" s="30">
        <v>44004.427135300924</v>
      </c>
      <c r="W7">
        <v>139</v>
      </c>
      <c r="X7" s="30">
        <v>44004.427135300924</v>
      </c>
      <c r="Y7">
        <v>0</v>
      </c>
      <c r="Z7" t="s">
        <v>453</v>
      </c>
      <c r="AA7" t="s">
        <v>453</v>
      </c>
    </row>
    <row r="8" spans="1:27" x14ac:dyDescent="0.25">
      <c r="A8">
        <v>47</v>
      </c>
      <c r="B8" t="s">
        <v>501</v>
      </c>
      <c r="C8" t="s">
        <v>502</v>
      </c>
      <c r="D8" t="s">
        <v>503</v>
      </c>
      <c r="E8" t="s">
        <v>504</v>
      </c>
      <c r="F8" t="s">
        <v>505</v>
      </c>
      <c r="G8" t="s">
        <v>458</v>
      </c>
      <c r="H8" t="s">
        <v>470</v>
      </c>
      <c r="J8">
        <v>47</v>
      </c>
      <c r="K8" t="s">
        <v>506</v>
      </c>
      <c r="L8" t="s">
        <v>507</v>
      </c>
      <c r="M8" t="s">
        <v>508</v>
      </c>
      <c r="N8" t="s">
        <v>509</v>
      </c>
      <c r="O8" t="s">
        <v>510</v>
      </c>
      <c r="P8" t="s">
        <v>511</v>
      </c>
      <c r="Q8" t="s">
        <v>477</v>
      </c>
      <c r="R8">
        <v>4</v>
      </c>
      <c r="S8">
        <v>20</v>
      </c>
      <c r="T8">
        <v>1299</v>
      </c>
      <c r="U8">
        <v>139</v>
      </c>
      <c r="V8" s="30">
        <v>44004.427135300924</v>
      </c>
      <c r="W8">
        <v>139</v>
      </c>
      <c r="X8" s="30">
        <v>44004.427135300924</v>
      </c>
      <c r="Y8">
        <v>0</v>
      </c>
      <c r="Z8" t="s">
        <v>453</v>
      </c>
      <c r="AA8" t="s">
        <v>453</v>
      </c>
    </row>
    <row r="9" spans="1:27" x14ac:dyDescent="0.25">
      <c r="A9">
        <v>48</v>
      </c>
      <c r="B9" t="s">
        <v>512</v>
      </c>
      <c r="C9" t="s">
        <v>455</v>
      </c>
      <c r="D9" t="s">
        <v>513</v>
      </c>
      <c r="E9">
        <v>5623</v>
      </c>
      <c r="F9" t="s">
        <v>514</v>
      </c>
      <c r="G9" t="s">
        <v>515</v>
      </c>
      <c r="H9" t="s">
        <v>516</v>
      </c>
      <c r="J9">
        <v>48</v>
      </c>
      <c r="K9" t="s">
        <v>517</v>
      </c>
      <c r="L9" t="s">
        <v>518</v>
      </c>
      <c r="M9" t="s">
        <v>461</v>
      </c>
      <c r="N9" t="s">
        <v>462</v>
      </c>
      <c r="O9" t="s">
        <v>519</v>
      </c>
      <c r="P9">
        <v>5623</v>
      </c>
      <c r="Q9" t="s">
        <v>520</v>
      </c>
      <c r="R9">
        <v>4</v>
      </c>
      <c r="S9">
        <v>30</v>
      </c>
      <c r="T9">
        <v>2091</v>
      </c>
      <c r="U9">
        <v>139</v>
      </c>
      <c r="V9" s="30">
        <v>44004.427135300924</v>
      </c>
      <c r="W9">
        <v>139</v>
      </c>
      <c r="X9" s="30">
        <v>44004.427135300924</v>
      </c>
      <c r="Y9">
        <v>0</v>
      </c>
      <c r="Z9" t="s">
        <v>453</v>
      </c>
      <c r="AA9" t="s">
        <v>453</v>
      </c>
    </row>
    <row r="10" spans="1:27" x14ac:dyDescent="0.25">
      <c r="A10">
        <v>49</v>
      </c>
      <c r="B10" t="s">
        <v>521</v>
      </c>
      <c r="C10" t="s">
        <v>522</v>
      </c>
      <c r="D10" t="s">
        <v>523</v>
      </c>
      <c r="E10">
        <v>7890</v>
      </c>
      <c r="F10" t="s">
        <v>524</v>
      </c>
      <c r="G10" t="s">
        <v>515</v>
      </c>
      <c r="H10" t="s">
        <v>525</v>
      </c>
      <c r="J10">
        <v>49</v>
      </c>
      <c r="K10" t="s">
        <v>526</v>
      </c>
      <c r="L10" t="s">
        <v>527</v>
      </c>
      <c r="M10" t="s">
        <v>528</v>
      </c>
      <c r="N10" t="s">
        <v>529</v>
      </c>
      <c r="O10" t="s">
        <v>530</v>
      </c>
      <c r="P10">
        <v>7890</v>
      </c>
      <c r="Q10" t="s">
        <v>531</v>
      </c>
      <c r="R10">
        <v>2</v>
      </c>
      <c r="S10">
        <v>30</v>
      </c>
      <c r="T10">
        <v>10901</v>
      </c>
      <c r="U10">
        <v>139</v>
      </c>
      <c r="V10" s="30">
        <v>44004.427135300924</v>
      </c>
      <c r="W10">
        <v>139</v>
      </c>
      <c r="X10" s="30">
        <v>44004.427135300924</v>
      </c>
      <c r="Y10">
        <v>0</v>
      </c>
      <c r="Z10" t="s">
        <v>453</v>
      </c>
      <c r="AA10" t="s">
        <v>453</v>
      </c>
    </row>
    <row r="11" spans="1:27" x14ac:dyDescent="0.25">
      <c r="A11">
        <v>51</v>
      </c>
      <c r="B11" t="s">
        <v>532</v>
      </c>
      <c r="C11" t="s">
        <v>533</v>
      </c>
      <c r="D11" t="s">
        <v>534</v>
      </c>
      <c r="E11">
        <v>12345</v>
      </c>
      <c r="F11" t="s">
        <v>535</v>
      </c>
      <c r="G11" t="s">
        <v>515</v>
      </c>
      <c r="H11" t="s">
        <v>516</v>
      </c>
      <c r="J11">
        <v>51</v>
      </c>
      <c r="K11" t="s">
        <v>536</v>
      </c>
      <c r="O11" t="s">
        <v>537</v>
      </c>
      <c r="P11">
        <v>12345</v>
      </c>
      <c r="Q11" t="s">
        <v>520</v>
      </c>
      <c r="R11">
        <v>0</v>
      </c>
      <c r="S11">
        <v>30</v>
      </c>
      <c r="T11">
        <v>0</v>
      </c>
      <c r="U11">
        <v>139</v>
      </c>
      <c r="V11" s="30">
        <v>44004.427135763886</v>
      </c>
      <c r="W11">
        <v>139</v>
      </c>
      <c r="X11" s="30">
        <v>44004.427135763886</v>
      </c>
      <c r="Y11">
        <v>0</v>
      </c>
      <c r="Z11" t="s">
        <v>453</v>
      </c>
      <c r="AA11" t="s">
        <v>453</v>
      </c>
    </row>
    <row r="12" spans="1:27" x14ac:dyDescent="0.25">
      <c r="A12">
        <v>52</v>
      </c>
      <c r="B12" t="s">
        <v>538</v>
      </c>
      <c r="C12" t="s">
        <v>533</v>
      </c>
      <c r="D12" t="s">
        <v>539</v>
      </c>
      <c r="E12">
        <v>12340</v>
      </c>
      <c r="F12" t="s">
        <v>535</v>
      </c>
      <c r="G12" t="s">
        <v>515</v>
      </c>
      <c r="H12" t="s">
        <v>540</v>
      </c>
      <c r="J12">
        <v>52</v>
      </c>
      <c r="K12" t="s">
        <v>541</v>
      </c>
      <c r="O12" t="s">
        <v>537</v>
      </c>
      <c r="P12">
        <v>12340</v>
      </c>
      <c r="Q12" t="s">
        <v>542</v>
      </c>
      <c r="R12">
        <v>0</v>
      </c>
      <c r="S12">
        <v>30</v>
      </c>
      <c r="T12">
        <v>0</v>
      </c>
      <c r="U12">
        <v>139</v>
      </c>
      <c r="V12" s="30">
        <v>44004.427135763886</v>
      </c>
      <c r="W12">
        <v>139</v>
      </c>
      <c r="X12" s="30">
        <v>44004.427135763886</v>
      </c>
      <c r="Y12">
        <v>0</v>
      </c>
      <c r="Z12" t="s">
        <v>453</v>
      </c>
      <c r="AA12" t="s">
        <v>453</v>
      </c>
    </row>
    <row r="13" spans="1:27" x14ac:dyDescent="0.25">
      <c r="A13">
        <v>54</v>
      </c>
      <c r="B13" t="s">
        <v>543</v>
      </c>
      <c r="C13" t="s">
        <v>544</v>
      </c>
      <c r="D13" t="s">
        <v>545</v>
      </c>
      <c r="E13" t="s">
        <v>546</v>
      </c>
      <c r="F13" t="s">
        <v>547</v>
      </c>
      <c r="G13" t="s">
        <v>483</v>
      </c>
      <c r="H13" t="s">
        <v>445</v>
      </c>
      <c r="J13">
        <v>54</v>
      </c>
      <c r="K13" t="s">
        <v>548</v>
      </c>
      <c r="L13" t="s">
        <v>549</v>
      </c>
      <c r="M13" t="s">
        <v>550</v>
      </c>
      <c r="N13" t="s">
        <v>551</v>
      </c>
      <c r="O13" t="s">
        <v>552</v>
      </c>
      <c r="P13" t="s">
        <v>553</v>
      </c>
      <c r="Q13" t="s">
        <v>452</v>
      </c>
      <c r="R13">
        <v>1</v>
      </c>
      <c r="S13">
        <v>40</v>
      </c>
      <c r="T13">
        <v>6898</v>
      </c>
      <c r="U13">
        <v>139</v>
      </c>
      <c r="V13" s="30">
        <v>44004.427135335645</v>
      </c>
      <c r="W13">
        <v>139</v>
      </c>
      <c r="X13" s="30">
        <v>44004.427135335645</v>
      </c>
      <c r="Y13">
        <v>0</v>
      </c>
      <c r="Z13" t="s">
        <v>453</v>
      </c>
      <c r="AA13" t="s">
        <v>453</v>
      </c>
    </row>
    <row r="14" spans="1:27" x14ac:dyDescent="0.25">
      <c r="A14">
        <v>56</v>
      </c>
      <c r="B14" t="s">
        <v>554</v>
      </c>
      <c r="C14" t="s">
        <v>555</v>
      </c>
      <c r="D14" t="s">
        <v>556</v>
      </c>
      <c r="E14" t="s">
        <v>557</v>
      </c>
      <c r="F14" t="s">
        <v>558</v>
      </c>
      <c r="G14" t="s">
        <v>469</v>
      </c>
      <c r="H14" t="s">
        <v>470</v>
      </c>
      <c r="J14">
        <v>56</v>
      </c>
      <c r="K14" t="s">
        <v>559</v>
      </c>
      <c r="L14" t="s">
        <v>560</v>
      </c>
      <c r="M14" t="s">
        <v>561</v>
      </c>
      <c r="N14" t="s">
        <v>509</v>
      </c>
      <c r="O14" t="s">
        <v>562</v>
      </c>
      <c r="P14" t="s">
        <v>563</v>
      </c>
      <c r="Q14" t="s">
        <v>477</v>
      </c>
      <c r="R14">
        <v>3</v>
      </c>
      <c r="S14">
        <v>50</v>
      </c>
      <c r="T14">
        <v>4475</v>
      </c>
      <c r="U14">
        <v>139</v>
      </c>
      <c r="V14" s="30">
        <v>44004.427135335645</v>
      </c>
      <c r="W14">
        <v>139</v>
      </c>
      <c r="X14" s="30">
        <v>44004.427135335645</v>
      </c>
      <c r="Y14">
        <v>0</v>
      </c>
      <c r="Z14" t="s">
        <v>453</v>
      </c>
      <c r="AA14" t="s">
        <v>453</v>
      </c>
    </row>
    <row r="15" spans="1:27" x14ac:dyDescent="0.25">
      <c r="A15">
        <v>57</v>
      </c>
      <c r="B15" t="s">
        <v>564</v>
      </c>
      <c r="C15" t="s">
        <v>565</v>
      </c>
      <c r="D15" t="s">
        <v>566</v>
      </c>
      <c r="E15" t="s">
        <v>567</v>
      </c>
      <c r="F15" t="s">
        <v>568</v>
      </c>
      <c r="G15" t="s">
        <v>515</v>
      </c>
      <c r="H15" t="s">
        <v>470</v>
      </c>
      <c r="J15">
        <v>57</v>
      </c>
      <c r="K15" t="s">
        <v>569</v>
      </c>
      <c r="L15" t="s">
        <v>570</v>
      </c>
      <c r="M15" t="s">
        <v>571</v>
      </c>
      <c r="N15" t="s">
        <v>572</v>
      </c>
      <c r="O15" t="s">
        <v>573</v>
      </c>
      <c r="P15" t="s">
        <v>574</v>
      </c>
      <c r="Q15" t="s">
        <v>477</v>
      </c>
      <c r="R15">
        <v>8</v>
      </c>
      <c r="S15">
        <v>30</v>
      </c>
      <c r="T15">
        <v>7658</v>
      </c>
      <c r="U15">
        <v>139</v>
      </c>
      <c r="V15" s="30">
        <v>44004.427135335645</v>
      </c>
      <c r="W15">
        <v>139</v>
      </c>
      <c r="X15" s="30">
        <v>44004.427135335645</v>
      </c>
      <c r="Y15">
        <v>0</v>
      </c>
      <c r="Z15" t="s">
        <v>453</v>
      </c>
      <c r="AA15" t="s">
        <v>453</v>
      </c>
    </row>
    <row r="16" spans="1:27" x14ac:dyDescent="0.25">
      <c r="A16">
        <v>58</v>
      </c>
      <c r="B16" t="s">
        <v>575</v>
      </c>
      <c r="C16" t="s">
        <v>576</v>
      </c>
      <c r="D16" t="s">
        <v>577</v>
      </c>
      <c r="E16">
        <v>1604</v>
      </c>
      <c r="F16" t="s">
        <v>578</v>
      </c>
      <c r="G16" t="s">
        <v>515</v>
      </c>
      <c r="H16" t="s">
        <v>525</v>
      </c>
      <c r="J16">
        <v>58</v>
      </c>
      <c r="K16" t="s">
        <v>579</v>
      </c>
      <c r="L16" t="s">
        <v>580</v>
      </c>
      <c r="M16" t="s">
        <v>581</v>
      </c>
      <c r="N16" t="s">
        <v>582</v>
      </c>
      <c r="P16">
        <v>1604</v>
      </c>
      <c r="Q16" t="s">
        <v>477</v>
      </c>
      <c r="R16">
        <v>3</v>
      </c>
      <c r="S16">
        <v>30</v>
      </c>
      <c r="T16">
        <v>10151</v>
      </c>
      <c r="U16">
        <v>139</v>
      </c>
      <c r="V16" s="30">
        <v>44004.427135335645</v>
      </c>
      <c r="W16">
        <v>139</v>
      </c>
      <c r="X16" s="30">
        <v>44004.427135335645</v>
      </c>
      <c r="Y16">
        <v>0</v>
      </c>
      <c r="Z16" t="s">
        <v>453</v>
      </c>
      <c r="AA16" t="s">
        <v>453</v>
      </c>
    </row>
    <row r="17" spans="1:27" x14ac:dyDescent="0.25">
      <c r="A17">
        <v>59</v>
      </c>
      <c r="B17" t="s">
        <v>583</v>
      </c>
      <c r="C17" t="s">
        <v>584</v>
      </c>
      <c r="D17" t="s">
        <v>585</v>
      </c>
      <c r="E17" t="s">
        <v>586</v>
      </c>
      <c r="F17" t="s">
        <v>587</v>
      </c>
      <c r="G17" t="s">
        <v>515</v>
      </c>
      <c r="H17" t="s">
        <v>470</v>
      </c>
      <c r="J17">
        <v>59</v>
      </c>
      <c r="K17" t="s">
        <v>588</v>
      </c>
      <c r="L17" t="s">
        <v>589</v>
      </c>
      <c r="M17" t="s">
        <v>590</v>
      </c>
      <c r="N17" t="s">
        <v>591</v>
      </c>
      <c r="O17" t="s">
        <v>592</v>
      </c>
      <c r="P17" t="s">
        <v>593</v>
      </c>
      <c r="Q17" t="s">
        <v>477</v>
      </c>
      <c r="R17">
        <v>3</v>
      </c>
      <c r="S17">
        <v>30</v>
      </c>
      <c r="T17">
        <v>6176</v>
      </c>
      <c r="U17">
        <v>139</v>
      </c>
      <c r="V17" s="30">
        <v>44004.427135381942</v>
      </c>
      <c r="W17">
        <v>139</v>
      </c>
      <c r="X17" s="30">
        <v>44004.427135381942</v>
      </c>
      <c r="Y17">
        <v>0</v>
      </c>
      <c r="Z17" t="s">
        <v>453</v>
      </c>
      <c r="AA17" t="s">
        <v>453</v>
      </c>
    </row>
    <row r="18" spans="1:27" x14ac:dyDescent="0.25">
      <c r="A18">
        <v>60</v>
      </c>
      <c r="B18" t="s">
        <v>594</v>
      </c>
      <c r="C18" t="s">
        <v>595</v>
      </c>
      <c r="D18" t="s">
        <v>596</v>
      </c>
      <c r="E18" t="s">
        <v>597</v>
      </c>
      <c r="F18" t="s">
        <v>598</v>
      </c>
      <c r="G18" t="s">
        <v>515</v>
      </c>
      <c r="H18" t="s">
        <v>470</v>
      </c>
      <c r="J18">
        <v>60</v>
      </c>
      <c r="K18" t="s">
        <v>599</v>
      </c>
      <c r="L18" t="s">
        <v>600</v>
      </c>
      <c r="M18" t="s">
        <v>601</v>
      </c>
      <c r="N18" t="s">
        <v>602</v>
      </c>
      <c r="O18" t="s">
        <v>603</v>
      </c>
      <c r="P18" t="s">
        <v>604</v>
      </c>
      <c r="Q18" t="s">
        <v>477</v>
      </c>
      <c r="R18">
        <v>8</v>
      </c>
      <c r="S18">
        <v>30</v>
      </c>
      <c r="T18">
        <v>67</v>
      </c>
      <c r="U18">
        <v>139</v>
      </c>
      <c r="V18" s="30">
        <v>44004.427135381942</v>
      </c>
      <c r="W18">
        <v>139</v>
      </c>
      <c r="X18" s="30">
        <v>44004.427135381942</v>
      </c>
      <c r="Y18">
        <v>0</v>
      </c>
      <c r="Z18" t="s">
        <v>453</v>
      </c>
      <c r="AA18" t="s">
        <v>453</v>
      </c>
    </row>
    <row r="19" spans="1:27" x14ac:dyDescent="0.25">
      <c r="A19">
        <v>62</v>
      </c>
      <c r="B19" t="s">
        <v>605</v>
      </c>
      <c r="C19" t="s">
        <v>606</v>
      </c>
      <c r="D19" t="s">
        <v>607</v>
      </c>
      <c r="E19" t="s">
        <v>608</v>
      </c>
      <c r="F19" t="s">
        <v>609</v>
      </c>
      <c r="G19" t="s">
        <v>515</v>
      </c>
      <c r="H19" t="s">
        <v>470</v>
      </c>
      <c r="J19">
        <v>62</v>
      </c>
      <c r="K19" t="s">
        <v>610</v>
      </c>
      <c r="L19" t="s">
        <v>611</v>
      </c>
      <c r="M19" t="s">
        <v>612</v>
      </c>
      <c r="N19" t="s">
        <v>497</v>
      </c>
      <c r="O19" t="s">
        <v>613</v>
      </c>
      <c r="P19" t="s">
        <v>614</v>
      </c>
      <c r="Q19" t="s">
        <v>477</v>
      </c>
      <c r="R19">
        <v>1</v>
      </c>
      <c r="S19">
        <v>30</v>
      </c>
      <c r="T19">
        <v>7945</v>
      </c>
      <c r="U19">
        <v>139</v>
      </c>
      <c r="V19" s="30">
        <v>44004.427135381942</v>
      </c>
      <c r="W19">
        <v>139</v>
      </c>
      <c r="X19" s="30">
        <v>44004.427135381942</v>
      </c>
      <c r="Y19">
        <v>0</v>
      </c>
      <c r="Z19" t="s">
        <v>453</v>
      </c>
      <c r="AA19" t="s">
        <v>453</v>
      </c>
    </row>
    <row r="20" spans="1:27" x14ac:dyDescent="0.25">
      <c r="A20">
        <v>63</v>
      </c>
      <c r="B20" t="s">
        <v>615</v>
      </c>
      <c r="C20" t="s">
        <v>584</v>
      </c>
      <c r="D20" t="s">
        <v>616</v>
      </c>
      <c r="E20" t="s">
        <v>617</v>
      </c>
      <c r="F20" t="s">
        <v>618</v>
      </c>
      <c r="G20" t="s">
        <v>483</v>
      </c>
      <c r="H20" t="s">
        <v>516</v>
      </c>
      <c r="J20">
        <v>63</v>
      </c>
      <c r="K20" t="s">
        <v>619</v>
      </c>
      <c r="O20" t="s">
        <v>620</v>
      </c>
      <c r="P20" t="s">
        <v>621</v>
      </c>
      <c r="Q20" t="s">
        <v>520</v>
      </c>
      <c r="R20">
        <v>0</v>
      </c>
      <c r="S20">
        <v>40</v>
      </c>
      <c r="T20">
        <v>0</v>
      </c>
      <c r="U20">
        <v>139</v>
      </c>
      <c r="V20" s="30">
        <v>44004.427135381942</v>
      </c>
      <c r="W20">
        <v>139</v>
      </c>
      <c r="X20" s="30">
        <v>44004.427135381942</v>
      </c>
      <c r="Y20">
        <v>1</v>
      </c>
      <c r="Z20" t="s">
        <v>453</v>
      </c>
      <c r="AA20" t="s">
        <v>453</v>
      </c>
    </row>
    <row r="21" spans="1:27" x14ac:dyDescent="0.25">
      <c r="A21">
        <v>64</v>
      </c>
      <c r="B21" t="s">
        <v>622</v>
      </c>
      <c r="C21" t="s">
        <v>623</v>
      </c>
      <c r="D21" t="s">
        <v>624</v>
      </c>
      <c r="E21">
        <v>12340</v>
      </c>
      <c r="F21" t="s">
        <v>625</v>
      </c>
      <c r="G21" t="s">
        <v>626</v>
      </c>
      <c r="H21" t="s">
        <v>445</v>
      </c>
      <c r="J21">
        <v>64</v>
      </c>
      <c r="K21" t="s">
        <v>627</v>
      </c>
      <c r="L21" t="s">
        <v>628</v>
      </c>
      <c r="M21" t="s">
        <v>629</v>
      </c>
      <c r="N21" t="s">
        <v>462</v>
      </c>
      <c r="O21" t="s">
        <v>630</v>
      </c>
      <c r="P21">
        <v>12340</v>
      </c>
      <c r="Q21" t="s">
        <v>452</v>
      </c>
      <c r="R21">
        <v>2</v>
      </c>
      <c r="S21">
        <v>30</v>
      </c>
      <c r="T21">
        <v>7549</v>
      </c>
      <c r="U21">
        <v>139</v>
      </c>
      <c r="V21" s="30">
        <v>44004.427135381942</v>
      </c>
      <c r="W21">
        <v>139</v>
      </c>
      <c r="X21" s="30">
        <v>44004.427135381942</v>
      </c>
      <c r="Y21">
        <v>0</v>
      </c>
      <c r="Z21" t="s">
        <v>453</v>
      </c>
      <c r="AA21" t="s">
        <v>453</v>
      </c>
    </row>
    <row r="22" spans="1:27" x14ac:dyDescent="0.25">
      <c r="A22">
        <v>66</v>
      </c>
      <c r="B22" t="s">
        <v>631</v>
      </c>
      <c r="C22" t="s">
        <v>632</v>
      </c>
      <c r="D22" t="s">
        <v>633</v>
      </c>
      <c r="E22">
        <v>200816</v>
      </c>
      <c r="F22" t="s">
        <v>634</v>
      </c>
      <c r="G22" t="s">
        <v>515</v>
      </c>
      <c r="H22" t="s">
        <v>445</v>
      </c>
      <c r="J22">
        <v>66</v>
      </c>
      <c r="K22" t="s">
        <v>635</v>
      </c>
      <c r="L22" t="s">
        <v>636</v>
      </c>
      <c r="M22" t="s">
        <v>637</v>
      </c>
      <c r="N22" t="s">
        <v>638</v>
      </c>
      <c r="O22" t="s">
        <v>639</v>
      </c>
      <c r="P22">
        <v>200816</v>
      </c>
      <c r="Q22" t="s">
        <v>452</v>
      </c>
      <c r="R22">
        <v>3</v>
      </c>
      <c r="S22">
        <v>30</v>
      </c>
      <c r="T22">
        <v>10382</v>
      </c>
      <c r="U22">
        <v>139</v>
      </c>
      <c r="V22" s="30">
        <v>44004.427135416663</v>
      </c>
      <c r="W22">
        <v>139</v>
      </c>
      <c r="X22" s="30">
        <v>44004.427135416663</v>
      </c>
      <c r="Y22">
        <v>0</v>
      </c>
      <c r="Z22" t="s">
        <v>453</v>
      </c>
      <c r="AA22" t="s">
        <v>453</v>
      </c>
    </row>
    <row r="23" spans="1:27" x14ac:dyDescent="0.25">
      <c r="A23">
        <v>67</v>
      </c>
      <c r="B23" t="s">
        <v>640</v>
      </c>
      <c r="C23" t="s">
        <v>641</v>
      </c>
      <c r="D23" t="s">
        <v>642</v>
      </c>
      <c r="E23">
        <v>12345</v>
      </c>
      <c r="F23" t="s">
        <v>643</v>
      </c>
      <c r="G23" t="s">
        <v>626</v>
      </c>
      <c r="H23" t="s">
        <v>540</v>
      </c>
      <c r="J23">
        <v>67</v>
      </c>
      <c r="K23" t="s">
        <v>644</v>
      </c>
      <c r="L23" t="s">
        <v>645</v>
      </c>
      <c r="M23" t="s">
        <v>646</v>
      </c>
      <c r="N23" t="s">
        <v>629</v>
      </c>
      <c r="O23" t="s">
        <v>647</v>
      </c>
      <c r="P23">
        <v>12345</v>
      </c>
      <c r="Q23" t="s">
        <v>542</v>
      </c>
      <c r="R23">
        <v>2</v>
      </c>
      <c r="S23">
        <v>30</v>
      </c>
      <c r="T23">
        <v>5628</v>
      </c>
      <c r="U23">
        <v>139</v>
      </c>
      <c r="V23" s="30">
        <v>44004.427135416663</v>
      </c>
      <c r="W23">
        <v>139</v>
      </c>
      <c r="X23" s="30">
        <v>44004.427135416663</v>
      </c>
      <c r="Y23">
        <v>0</v>
      </c>
      <c r="Z23" t="s">
        <v>453</v>
      </c>
      <c r="AA23" t="s">
        <v>453</v>
      </c>
    </row>
    <row r="24" spans="1:27" x14ac:dyDescent="0.25">
      <c r="A24">
        <v>68</v>
      </c>
      <c r="B24" t="s">
        <v>648</v>
      </c>
      <c r="C24" t="s">
        <v>623</v>
      </c>
      <c r="D24" t="s">
        <v>649</v>
      </c>
      <c r="E24">
        <v>2878</v>
      </c>
      <c r="F24" t="s">
        <v>650</v>
      </c>
      <c r="G24" t="s">
        <v>626</v>
      </c>
      <c r="H24" t="s">
        <v>470</v>
      </c>
      <c r="J24">
        <v>68</v>
      </c>
      <c r="K24" t="s">
        <v>651</v>
      </c>
      <c r="L24" t="s">
        <v>652</v>
      </c>
      <c r="M24" t="s">
        <v>629</v>
      </c>
      <c r="N24" t="s">
        <v>653</v>
      </c>
      <c r="O24" t="s">
        <v>654</v>
      </c>
      <c r="P24">
        <v>2878</v>
      </c>
      <c r="Q24" t="s">
        <v>477</v>
      </c>
      <c r="R24">
        <v>2</v>
      </c>
      <c r="S24">
        <v>30</v>
      </c>
      <c r="T24">
        <v>7041</v>
      </c>
      <c r="U24">
        <v>139</v>
      </c>
      <c r="V24" s="30">
        <v>44004.427135416663</v>
      </c>
      <c r="W24">
        <v>139</v>
      </c>
      <c r="X24" s="30">
        <v>44004.427135416663</v>
      </c>
      <c r="Y24">
        <v>0</v>
      </c>
      <c r="Z24" t="s">
        <v>453</v>
      </c>
      <c r="AA24" t="s">
        <v>453</v>
      </c>
    </row>
    <row r="25" spans="1:27" x14ac:dyDescent="0.25">
      <c r="A25">
        <v>69</v>
      </c>
      <c r="B25" t="s">
        <v>655</v>
      </c>
      <c r="C25" t="s">
        <v>656</v>
      </c>
      <c r="D25" t="s">
        <v>657</v>
      </c>
      <c r="E25">
        <v>12345</v>
      </c>
      <c r="F25" t="s">
        <v>658</v>
      </c>
      <c r="G25" t="s">
        <v>515</v>
      </c>
      <c r="H25" t="s">
        <v>470</v>
      </c>
      <c r="J25">
        <v>69</v>
      </c>
      <c r="K25" t="s">
        <v>659</v>
      </c>
      <c r="L25" t="s">
        <v>660</v>
      </c>
      <c r="M25" t="s">
        <v>661</v>
      </c>
      <c r="N25" t="s">
        <v>662</v>
      </c>
      <c r="O25" t="s">
        <v>663</v>
      </c>
      <c r="P25">
        <v>12345</v>
      </c>
      <c r="Q25" t="s">
        <v>477</v>
      </c>
      <c r="R25">
        <v>8</v>
      </c>
      <c r="S25">
        <v>30</v>
      </c>
      <c r="T25">
        <v>4158</v>
      </c>
      <c r="U25">
        <v>139</v>
      </c>
      <c r="V25" s="30">
        <v>44004.427135416663</v>
      </c>
      <c r="W25">
        <v>139</v>
      </c>
      <c r="X25" s="30">
        <v>44004.427135416663</v>
      </c>
      <c r="Y25">
        <v>0</v>
      </c>
      <c r="Z25" t="s">
        <v>453</v>
      </c>
      <c r="AA25" t="s">
        <v>453</v>
      </c>
    </row>
    <row r="26" spans="1:27" x14ac:dyDescent="0.25">
      <c r="A26">
        <v>70</v>
      </c>
      <c r="B26" t="s">
        <v>664</v>
      </c>
      <c r="C26" t="s">
        <v>555</v>
      </c>
      <c r="D26" t="s">
        <v>665</v>
      </c>
      <c r="E26" t="s">
        <v>666</v>
      </c>
      <c r="F26" t="s">
        <v>667</v>
      </c>
      <c r="G26" t="s">
        <v>483</v>
      </c>
      <c r="H26" t="s">
        <v>445</v>
      </c>
      <c r="J26">
        <v>70</v>
      </c>
      <c r="K26" t="s">
        <v>668</v>
      </c>
      <c r="L26" t="s">
        <v>669</v>
      </c>
      <c r="M26" t="s">
        <v>561</v>
      </c>
      <c r="N26" t="s">
        <v>670</v>
      </c>
      <c r="O26" t="s">
        <v>671</v>
      </c>
      <c r="P26" t="s">
        <v>672</v>
      </c>
      <c r="Q26" t="s">
        <v>452</v>
      </c>
      <c r="R26">
        <v>3</v>
      </c>
      <c r="S26">
        <v>40</v>
      </c>
      <c r="T26">
        <v>8464</v>
      </c>
      <c r="U26">
        <v>139</v>
      </c>
      <c r="V26" s="30">
        <v>44004.427135416663</v>
      </c>
      <c r="W26">
        <v>139</v>
      </c>
      <c r="X26" s="30">
        <v>44004.427135416663</v>
      </c>
      <c r="Y26">
        <v>0</v>
      </c>
      <c r="Z26" t="s">
        <v>453</v>
      </c>
      <c r="AA26" t="s">
        <v>453</v>
      </c>
    </row>
    <row r="27" spans="1:27" x14ac:dyDescent="0.25">
      <c r="A27">
        <v>71</v>
      </c>
      <c r="B27" t="s">
        <v>673</v>
      </c>
      <c r="C27" t="s">
        <v>674</v>
      </c>
      <c r="D27" t="s">
        <v>675</v>
      </c>
      <c r="E27" t="s">
        <v>676</v>
      </c>
      <c r="F27" t="s">
        <v>677</v>
      </c>
      <c r="G27" t="s">
        <v>515</v>
      </c>
      <c r="H27" t="s">
        <v>470</v>
      </c>
      <c r="J27">
        <v>71</v>
      </c>
      <c r="K27" t="s">
        <v>678</v>
      </c>
      <c r="L27" t="s">
        <v>679</v>
      </c>
      <c r="M27" t="s">
        <v>680</v>
      </c>
      <c r="O27" t="s">
        <v>681</v>
      </c>
      <c r="P27" t="s">
        <v>682</v>
      </c>
      <c r="Q27" t="s">
        <v>477</v>
      </c>
      <c r="R27">
        <v>0</v>
      </c>
      <c r="S27">
        <v>30</v>
      </c>
      <c r="T27">
        <v>-1</v>
      </c>
      <c r="U27">
        <v>139</v>
      </c>
      <c r="V27" s="30">
        <v>44004.427135763886</v>
      </c>
      <c r="W27">
        <v>139</v>
      </c>
      <c r="X27" s="30">
        <v>44004.427135763886</v>
      </c>
      <c r="Y27">
        <v>0</v>
      </c>
      <c r="Z27" t="s">
        <v>453</v>
      </c>
      <c r="AA27" t="s">
        <v>453</v>
      </c>
    </row>
    <row r="28" spans="1:27" x14ac:dyDescent="0.25">
      <c r="A28">
        <v>72</v>
      </c>
      <c r="B28" t="s">
        <v>683</v>
      </c>
      <c r="C28" t="s">
        <v>684</v>
      </c>
      <c r="D28" t="s">
        <v>685</v>
      </c>
      <c r="E28">
        <v>123789</v>
      </c>
      <c r="F28" t="s">
        <v>578</v>
      </c>
      <c r="G28" t="s">
        <v>483</v>
      </c>
      <c r="H28" t="s">
        <v>540</v>
      </c>
      <c r="J28">
        <v>72</v>
      </c>
      <c r="K28" t="s">
        <v>686</v>
      </c>
      <c r="L28" t="s">
        <v>687</v>
      </c>
      <c r="M28" t="s">
        <v>688</v>
      </c>
      <c r="N28" t="s">
        <v>689</v>
      </c>
      <c r="P28">
        <v>123789</v>
      </c>
      <c r="Q28" t="s">
        <v>542</v>
      </c>
      <c r="R28">
        <v>4</v>
      </c>
      <c r="S28">
        <v>40</v>
      </c>
      <c r="T28">
        <v>11879</v>
      </c>
      <c r="U28">
        <v>139</v>
      </c>
      <c r="V28" s="30">
        <v>44004.427135416663</v>
      </c>
      <c r="W28">
        <v>139</v>
      </c>
      <c r="X28" s="30">
        <v>44004.427135416663</v>
      </c>
      <c r="Y28">
        <v>0</v>
      </c>
      <c r="Z28" t="s">
        <v>453</v>
      </c>
      <c r="AA28" t="s">
        <v>453</v>
      </c>
    </row>
    <row r="29" spans="1:27" x14ac:dyDescent="0.25">
      <c r="A29">
        <v>73</v>
      </c>
      <c r="B29" t="s">
        <v>690</v>
      </c>
      <c r="C29" t="s">
        <v>691</v>
      </c>
      <c r="D29" t="s">
        <v>692</v>
      </c>
      <c r="E29">
        <v>1234</v>
      </c>
      <c r="F29" t="s">
        <v>693</v>
      </c>
      <c r="G29" t="s">
        <v>626</v>
      </c>
      <c r="H29" t="s">
        <v>470</v>
      </c>
      <c r="J29">
        <v>73</v>
      </c>
      <c r="K29" t="s">
        <v>694</v>
      </c>
      <c r="O29" t="s">
        <v>695</v>
      </c>
      <c r="P29">
        <v>1234</v>
      </c>
      <c r="Q29" t="s">
        <v>477</v>
      </c>
      <c r="R29">
        <v>0</v>
      </c>
      <c r="S29">
        <v>30</v>
      </c>
      <c r="T29">
        <v>0</v>
      </c>
      <c r="U29">
        <v>139</v>
      </c>
      <c r="V29" s="30">
        <v>44004.427135451391</v>
      </c>
      <c r="W29">
        <v>139</v>
      </c>
      <c r="X29" s="30">
        <v>44004.427135451391</v>
      </c>
      <c r="Y29">
        <v>1</v>
      </c>
      <c r="Z29" t="s">
        <v>453</v>
      </c>
      <c r="AA29" t="s">
        <v>453</v>
      </c>
    </row>
    <row r="30" spans="1:27" x14ac:dyDescent="0.25">
      <c r="A30">
        <v>75</v>
      </c>
      <c r="B30" t="s">
        <v>631</v>
      </c>
      <c r="C30" t="s">
        <v>696</v>
      </c>
      <c r="D30" t="s">
        <v>697</v>
      </c>
      <c r="E30">
        <v>102</v>
      </c>
      <c r="F30" t="s">
        <v>698</v>
      </c>
      <c r="G30" t="s">
        <v>515</v>
      </c>
      <c r="H30" t="s">
        <v>699</v>
      </c>
      <c r="J30">
        <v>75</v>
      </c>
      <c r="K30" t="s">
        <v>700</v>
      </c>
      <c r="L30" t="s">
        <v>701</v>
      </c>
      <c r="M30" t="s">
        <v>702</v>
      </c>
      <c r="N30" t="s">
        <v>703</v>
      </c>
      <c r="O30" t="s">
        <v>704</v>
      </c>
      <c r="P30">
        <v>102</v>
      </c>
      <c r="Q30" t="s">
        <v>705</v>
      </c>
      <c r="R30">
        <v>4</v>
      </c>
      <c r="S30">
        <v>30</v>
      </c>
      <c r="T30">
        <v>12769</v>
      </c>
      <c r="U30">
        <v>139</v>
      </c>
      <c r="V30" s="30">
        <v>44004.427135451391</v>
      </c>
      <c r="W30">
        <v>139</v>
      </c>
      <c r="X30" s="30">
        <v>44004.427135451391</v>
      </c>
      <c r="Y30">
        <v>0</v>
      </c>
      <c r="Z30" t="s">
        <v>453</v>
      </c>
      <c r="AA30" t="s">
        <v>453</v>
      </c>
    </row>
    <row r="31" spans="1:27" x14ac:dyDescent="0.25">
      <c r="A31">
        <v>77</v>
      </c>
      <c r="B31" t="s">
        <v>706</v>
      </c>
      <c r="C31" t="s">
        <v>623</v>
      </c>
      <c r="D31" t="s">
        <v>707</v>
      </c>
      <c r="E31">
        <v>12345</v>
      </c>
      <c r="F31" t="s">
        <v>587</v>
      </c>
      <c r="G31" t="s">
        <v>515</v>
      </c>
      <c r="H31" t="s">
        <v>470</v>
      </c>
      <c r="J31">
        <v>77</v>
      </c>
      <c r="K31" t="s">
        <v>708</v>
      </c>
      <c r="L31" t="s">
        <v>709</v>
      </c>
      <c r="M31" t="s">
        <v>629</v>
      </c>
      <c r="N31" t="s">
        <v>710</v>
      </c>
      <c r="O31" t="s">
        <v>592</v>
      </c>
      <c r="P31">
        <v>12345</v>
      </c>
      <c r="Q31" t="s">
        <v>477</v>
      </c>
      <c r="R31">
        <v>3</v>
      </c>
      <c r="S31">
        <v>30</v>
      </c>
      <c r="T31">
        <v>4880</v>
      </c>
      <c r="U31">
        <v>139</v>
      </c>
      <c r="V31" s="30">
        <v>44004.427135451391</v>
      </c>
      <c r="W31">
        <v>139</v>
      </c>
      <c r="X31" s="30">
        <v>44004.427135451391</v>
      </c>
      <c r="Y31">
        <v>0</v>
      </c>
      <c r="Z31" t="s">
        <v>453</v>
      </c>
      <c r="AA31" t="s">
        <v>453</v>
      </c>
    </row>
    <row r="32" spans="1:27" x14ac:dyDescent="0.25">
      <c r="A32">
        <v>82</v>
      </c>
      <c r="B32" t="s">
        <v>711</v>
      </c>
      <c r="C32" t="s">
        <v>712</v>
      </c>
      <c r="D32" t="s">
        <v>713</v>
      </c>
      <c r="E32">
        <v>2697</v>
      </c>
      <c r="F32" t="s">
        <v>714</v>
      </c>
      <c r="G32" t="s">
        <v>515</v>
      </c>
      <c r="H32" t="s">
        <v>470</v>
      </c>
      <c r="J32">
        <v>82</v>
      </c>
      <c r="K32" t="s">
        <v>715</v>
      </c>
      <c r="L32" t="s">
        <v>716</v>
      </c>
      <c r="M32" t="s">
        <v>717</v>
      </c>
      <c r="N32" t="s">
        <v>718</v>
      </c>
      <c r="O32" t="s">
        <v>719</v>
      </c>
      <c r="P32">
        <v>2697</v>
      </c>
      <c r="Q32" t="s">
        <v>477</v>
      </c>
      <c r="R32">
        <v>4</v>
      </c>
      <c r="S32">
        <v>30</v>
      </c>
      <c r="T32">
        <v>10054</v>
      </c>
      <c r="U32">
        <v>139</v>
      </c>
      <c r="V32" s="30">
        <v>44004.427135451391</v>
      </c>
      <c r="W32">
        <v>139</v>
      </c>
      <c r="X32" s="30">
        <v>44004.427135451391</v>
      </c>
      <c r="Y32">
        <v>0</v>
      </c>
      <c r="Z32" t="s">
        <v>453</v>
      </c>
      <c r="AA32" t="s">
        <v>453</v>
      </c>
    </row>
    <row r="33" spans="1:27" x14ac:dyDescent="0.25">
      <c r="A33">
        <v>83</v>
      </c>
      <c r="B33" t="s">
        <v>720</v>
      </c>
      <c r="C33" t="s">
        <v>721</v>
      </c>
      <c r="D33" t="s">
        <v>722</v>
      </c>
      <c r="E33">
        <v>1986</v>
      </c>
      <c r="F33" t="s">
        <v>714</v>
      </c>
      <c r="G33" t="s">
        <v>515</v>
      </c>
      <c r="H33" t="s">
        <v>445</v>
      </c>
      <c r="J33">
        <v>83</v>
      </c>
      <c r="K33" t="s">
        <v>723</v>
      </c>
      <c r="O33" t="s">
        <v>719</v>
      </c>
      <c r="P33">
        <v>1986</v>
      </c>
      <c r="Q33" t="s">
        <v>452</v>
      </c>
      <c r="R33">
        <v>0</v>
      </c>
      <c r="S33">
        <v>30</v>
      </c>
      <c r="T33">
        <v>0</v>
      </c>
      <c r="U33">
        <v>139</v>
      </c>
      <c r="V33" s="30">
        <v>44004.427135451391</v>
      </c>
      <c r="W33">
        <v>139</v>
      </c>
      <c r="X33" s="30">
        <v>44004.427135451391</v>
      </c>
      <c r="Y33">
        <v>1</v>
      </c>
      <c r="Z33" t="s">
        <v>453</v>
      </c>
      <c r="AA33" t="s">
        <v>453</v>
      </c>
    </row>
    <row r="34" spans="1:27" x14ac:dyDescent="0.25">
      <c r="A34">
        <v>86</v>
      </c>
      <c r="B34" t="s">
        <v>464</v>
      </c>
      <c r="C34" t="s">
        <v>724</v>
      </c>
      <c r="D34" t="s">
        <v>725</v>
      </c>
      <c r="E34" t="s">
        <v>726</v>
      </c>
      <c r="F34" t="s">
        <v>727</v>
      </c>
      <c r="G34" t="s">
        <v>515</v>
      </c>
      <c r="H34" t="s">
        <v>470</v>
      </c>
      <c r="J34">
        <v>86</v>
      </c>
      <c r="K34" t="s">
        <v>728</v>
      </c>
      <c r="L34" t="s">
        <v>729</v>
      </c>
      <c r="M34" t="s">
        <v>730</v>
      </c>
      <c r="N34" t="s">
        <v>731</v>
      </c>
      <c r="O34" t="s">
        <v>732</v>
      </c>
      <c r="P34" t="s">
        <v>733</v>
      </c>
      <c r="Q34" t="s">
        <v>477</v>
      </c>
      <c r="R34">
        <v>4</v>
      </c>
      <c r="S34">
        <v>30</v>
      </c>
      <c r="T34">
        <v>3589</v>
      </c>
      <c r="U34">
        <v>139</v>
      </c>
      <c r="V34" s="30">
        <v>44004.427135451391</v>
      </c>
      <c r="W34">
        <v>139</v>
      </c>
      <c r="X34" s="30">
        <v>44004.427135451391</v>
      </c>
      <c r="Y34">
        <v>0</v>
      </c>
      <c r="Z34" t="s">
        <v>453</v>
      </c>
      <c r="AA34" t="s">
        <v>453</v>
      </c>
    </row>
    <row r="35" spans="1:27" x14ac:dyDescent="0.25">
      <c r="A35">
        <v>87</v>
      </c>
      <c r="B35" t="s">
        <v>575</v>
      </c>
      <c r="C35" t="s">
        <v>734</v>
      </c>
      <c r="D35" t="s">
        <v>735</v>
      </c>
      <c r="E35" t="s">
        <v>736</v>
      </c>
      <c r="F35" t="s">
        <v>634</v>
      </c>
      <c r="G35" t="s">
        <v>483</v>
      </c>
      <c r="H35" t="s">
        <v>445</v>
      </c>
      <c r="J35">
        <v>87</v>
      </c>
      <c r="K35" t="s">
        <v>737</v>
      </c>
      <c r="L35" t="s">
        <v>738</v>
      </c>
      <c r="M35" t="s">
        <v>739</v>
      </c>
      <c r="N35" t="s">
        <v>462</v>
      </c>
      <c r="O35" t="s">
        <v>740</v>
      </c>
      <c r="P35" t="s">
        <v>741</v>
      </c>
      <c r="Q35" t="s">
        <v>452</v>
      </c>
      <c r="R35">
        <v>3</v>
      </c>
      <c r="S35">
        <v>40</v>
      </c>
      <c r="T35">
        <v>10221</v>
      </c>
      <c r="U35">
        <v>139</v>
      </c>
      <c r="V35" s="30">
        <v>44004.427135497688</v>
      </c>
      <c r="W35">
        <v>139</v>
      </c>
      <c r="X35" s="30">
        <v>44004.427135497688</v>
      </c>
      <c r="Y35">
        <v>0</v>
      </c>
      <c r="Z35" t="s">
        <v>453</v>
      </c>
      <c r="AA35" t="s">
        <v>453</v>
      </c>
    </row>
    <row r="36" spans="1:27" x14ac:dyDescent="0.25">
      <c r="A36">
        <v>88</v>
      </c>
      <c r="B36" t="s">
        <v>742</v>
      </c>
      <c r="C36" t="s">
        <v>533</v>
      </c>
      <c r="D36" t="s">
        <v>742</v>
      </c>
      <c r="E36" t="s">
        <v>743</v>
      </c>
      <c r="F36" t="s">
        <v>744</v>
      </c>
      <c r="G36" t="s">
        <v>444</v>
      </c>
      <c r="H36" t="s">
        <v>445</v>
      </c>
      <c r="J36">
        <v>88</v>
      </c>
      <c r="K36" t="s">
        <v>369</v>
      </c>
      <c r="O36" t="s">
        <v>745</v>
      </c>
      <c r="P36" t="s">
        <v>746</v>
      </c>
      <c r="Q36" t="s">
        <v>452</v>
      </c>
      <c r="R36">
        <v>0</v>
      </c>
      <c r="S36">
        <v>30</v>
      </c>
      <c r="T36">
        <v>0</v>
      </c>
      <c r="U36">
        <v>139</v>
      </c>
      <c r="V36" s="30">
        <v>44004.427135763886</v>
      </c>
      <c r="W36">
        <v>139</v>
      </c>
      <c r="X36" s="30">
        <v>44004.427135763886</v>
      </c>
      <c r="Y36">
        <v>0</v>
      </c>
      <c r="Z36" t="s">
        <v>453</v>
      </c>
      <c r="AA36" t="s">
        <v>453</v>
      </c>
    </row>
    <row r="37" spans="1:27" x14ac:dyDescent="0.25">
      <c r="A37">
        <v>89</v>
      </c>
      <c r="B37" t="s">
        <v>747</v>
      </c>
      <c r="C37" t="s">
        <v>606</v>
      </c>
      <c r="D37" t="s">
        <v>748</v>
      </c>
      <c r="E37">
        <v>123450</v>
      </c>
      <c r="F37" t="s">
        <v>749</v>
      </c>
      <c r="G37" t="s">
        <v>458</v>
      </c>
      <c r="H37" t="s">
        <v>470</v>
      </c>
      <c r="J37">
        <v>89</v>
      </c>
      <c r="K37" t="s">
        <v>750</v>
      </c>
      <c r="L37" t="s">
        <v>751</v>
      </c>
      <c r="M37" t="s">
        <v>612</v>
      </c>
      <c r="N37" t="s">
        <v>752</v>
      </c>
      <c r="O37" t="s">
        <v>753</v>
      </c>
      <c r="P37">
        <v>123450</v>
      </c>
      <c r="Q37" t="s">
        <v>477</v>
      </c>
      <c r="R37">
        <v>4</v>
      </c>
      <c r="S37">
        <v>30</v>
      </c>
      <c r="T37">
        <v>8242</v>
      </c>
      <c r="U37">
        <v>139</v>
      </c>
      <c r="V37" s="30">
        <v>44004.427135497688</v>
      </c>
      <c r="W37">
        <v>139</v>
      </c>
      <c r="X37" s="30">
        <v>44004.427135497688</v>
      </c>
      <c r="Y37">
        <v>0</v>
      </c>
      <c r="Z37" t="s">
        <v>453</v>
      </c>
      <c r="AA37" t="s">
        <v>453</v>
      </c>
    </row>
    <row r="38" spans="1:27" x14ac:dyDescent="0.25">
      <c r="A38">
        <v>90</v>
      </c>
      <c r="B38" t="s">
        <v>754</v>
      </c>
      <c r="C38" t="s">
        <v>755</v>
      </c>
      <c r="D38" t="s">
        <v>756</v>
      </c>
      <c r="E38">
        <v>1726</v>
      </c>
      <c r="F38" t="s">
        <v>634</v>
      </c>
      <c r="G38" t="s">
        <v>515</v>
      </c>
      <c r="H38" t="s">
        <v>470</v>
      </c>
      <c r="J38">
        <v>90</v>
      </c>
      <c r="K38" t="s">
        <v>757</v>
      </c>
      <c r="L38" t="s">
        <v>758</v>
      </c>
      <c r="M38" t="s">
        <v>759</v>
      </c>
      <c r="N38" t="s">
        <v>629</v>
      </c>
      <c r="O38" t="s">
        <v>639</v>
      </c>
      <c r="P38">
        <v>1726</v>
      </c>
      <c r="Q38" t="s">
        <v>760</v>
      </c>
      <c r="R38">
        <v>3</v>
      </c>
      <c r="S38">
        <v>30</v>
      </c>
      <c r="T38">
        <v>10209</v>
      </c>
      <c r="U38">
        <v>139</v>
      </c>
      <c r="V38" s="30">
        <v>44004.427135497688</v>
      </c>
      <c r="W38">
        <v>139</v>
      </c>
      <c r="X38" s="30">
        <v>44004.427135497688</v>
      </c>
      <c r="Y38">
        <v>0</v>
      </c>
      <c r="Z38" t="s">
        <v>453</v>
      </c>
      <c r="AA38" t="s">
        <v>453</v>
      </c>
    </row>
    <row r="39" spans="1:27" x14ac:dyDescent="0.25">
      <c r="A39">
        <v>92</v>
      </c>
      <c r="B39" t="s">
        <v>761</v>
      </c>
      <c r="C39" t="s">
        <v>762</v>
      </c>
      <c r="D39" t="s">
        <v>763</v>
      </c>
      <c r="E39" t="s">
        <v>764</v>
      </c>
      <c r="F39" t="s">
        <v>765</v>
      </c>
      <c r="G39" t="s">
        <v>515</v>
      </c>
      <c r="H39" t="s">
        <v>516</v>
      </c>
      <c r="J39">
        <v>92</v>
      </c>
      <c r="K39" t="s">
        <v>766</v>
      </c>
      <c r="L39" t="s">
        <v>767</v>
      </c>
      <c r="M39" t="s">
        <v>710</v>
      </c>
      <c r="N39" t="s">
        <v>768</v>
      </c>
      <c r="O39" t="s">
        <v>769</v>
      </c>
      <c r="P39" t="s">
        <v>770</v>
      </c>
      <c r="Q39" t="s">
        <v>520</v>
      </c>
      <c r="R39">
        <v>2</v>
      </c>
      <c r="S39">
        <v>30</v>
      </c>
      <c r="T39">
        <v>13253</v>
      </c>
      <c r="U39">
        <v>139</v>
      </c>
      <c r="V39" s="30">
        <v>44004.427135497688</v>
      </c>
      <c r="W39">
        <v>139</v>
      </c>
      <c r="X39" s="30">
        <v>44004.427135497688</v>
      </c>
      <c r="Y39">
        <v>0</v>
      </c>
      <c r="Z39" t="s">
        <v>453</v>
      </c>
      <c r="AA39" t="s">
        <v>453</v>
      </c>
    </row>
    <row r="40" spans="1:27" x14ac:dyDescent="0.25">
      <c r="A40">
        <v>93</v>
      </c>
      <c r="B40" t="s">
        <v>771</v>
      </c>
      <c r="C40" t="s">
        <v>772</v>
      </c>
      <c r="D40" t="s">
        <v>773</v>
      </c>
      <c r="E40">
        <v>12345</v>
      </c>
      <c r="F40" t="s">
        <v>774</v>
      </c>
      <c r="G40" t="s">
        <v>626</v>
      </c>
      <c r="H40" t="s">
        <v>525</v>
      </c>
      <c r="J40">
        <v>93</v>
      </c>
      <c r="K40" t="s">
        <v>775</v>
      </c>
      <c r="O40" t="s">
        <v>776</v>
      </c>
      <c r="P40">
        <v>12345</v>
      </c>
      <c r="Q40" t="s">
        <v>531</v>
      </c>
      <c r="R40">
        <v>0</v>
      </c>
      <c r="S40">
        <v>30</v>
      </c>
      <c r="T40">
        <v>0</v>
      </c>
      <c r="U40">
        <v>139</v>
      </c>
      <c r="V40" s="30">
        <v>44004.427135497688</v>
      </c>
      <c r="W40">
        <v>139</v>
      </c>
      <c r="X40" s="30">
        <v>44004.427135497688</v>
      </c>
      <c r="Y40">
        <v>1</v>
      </c>
      <c r="Z40" t="s">
        <v>453</v>
      </c>
      <c r="AA40" t="s">
        <v>453</v>
      </c>
    </row>
    <row r="41" spans="1:27" x14ac:dyDescent="0.25">
      <c r="A41">
        <v>94</v>
      </c>
      <c r="B41" t="s">
        <v>777</v>
      </c>
      <c r="C41" t="s">
        <v>778</v>
      </c>
      <c r="D41" t="s">
        <v>779</v>
      </c>
      <c r="E41" t="s">
        <v>780</v>
      </c>
      <c r="F41" t="s">
        <v>578</v>
      </c>
      <c r="G41" t="s">
        <v>515</v>
      </c>
      <c r="H41" t="s">
        <v>516</v>
      </c>
      <c r="J41">
        <v>94</v>
      </c>
      <c r="K41" t="s">
        <v>781</v>
      </c>
      <c r="L41" t="s">
        <v>782</v>
      </c>
      <c r="M41" t="s">
        <v>783</v>
      </c>
      <c r="N41" t="s">
        <v>731</v>
      </c>
      <c r="P41" t="s">
        <v>784</v>
      </c>
      <c r="Q41" t="s">
        <v>520</v>
      </c>
      <c r="R41">
        <v>2</v>
      </c>
      <c r="S41">
        <v>30</v>
      </c>
      <c r="T41">
        <v>13189</v>
      </c>
      <c r="U41">
        <v>139</v>
      </c>
      <c r="V41" s="30">
        <v>44004.427135532409</v>
      </c>
      <c r="W41">
        <v>139</v>
      </c>
      <c r="X41" s="30">
        <v>44004.427135532409</v>
      </c>
      <c r="Y41">
        <v>0</v>
      </c>
      <c r="Z41" t="s">
        <v>453</v>
      </c>
      <c r="AA41" t="s">
        <v>453</v>
      </c>
    </row>
    <row r="42" spans="1:27" x14ac:dyDescent="0.25">
      <c r="A42">
        <v>96</v>
      </c>
      <c r="B42" t="s">
        <v>785</v>
      </c>
      <c r="C42" t="s">
        <v>786</v>
      </c>
      <c r="D42" t="s">
        <v>787</v>
      </c>
      <c r="E42">
        <v>12345</v>
      </c>
      <c r="F42" t="s">
        <v>788</v>
      </c>
      <c r="G42" t="s">
        <v>515</v>
      </c>
      <c r="H42" t="s">
        <v>516</v>
      </c>
      <c r="J42">
        <v>96</v>
      </c>
      <c r="K42" t="s">
        <v>789</v>
      </c>
      <c r="L42" t="s">
        <v>790</v>
      </c>
      <c r="M42" t="s">
        <v>591</v>
      </c>
      <c r="N42" t="s">
        <v>791</v>
      </c>
      <c r="O42" t="s">
        <v>792</v>
      </c>
      <c r="P42">
        <v>12345</v>
      </c>
      <c r="Q42" t="s">
        <v>520</v>
      </c>
      <c r="R42">
        <v>2</v>
      </c>
      <c r="S42">
        <v>30</v>
      </c>
      <c r="T42">
        <v>13005</v>
      </c>
      <c r="U42">
        <v>139</v>
      </c>
      <c r="V42" s="30">
        <v>44004.427135532409</v>
      </c>
      <c r="W42">
        <v>139</v>
      </c>
      <c r="X42" s="30">
        <v>44004.427135532409</v>
      </c>
      <c r="Y42">
        <v>0</v>
      </c>
      <c r="Z42" t="s">
        <v>453</v>
      </c>
      <c r="AA42" t="s">
        <v>453</v>
      </c>
    </row>
    <row r="43" spans="1:27" x14ac:dyDescent="0.25">
      <c r="A43">
        <v>97</v>
      </c>
      <c r="B43" t="s">
        <v>793</v>
      </c>
      <c r="C43" t="s">
        <v>794</v>
      </c>
      <c r="D43" t="s">
        <v>795</v>
      </c>
      <c r="E43">
        <v>1234</v>
      </c>
      <c r="F43" t="s">
        <v>796</v>
      </c>
      <c r="G43" t="s">
        <v>797</v>
      </c>
      <c r="H43" t="s">
        <v>516</v>
      </c>
      <c r="J43">
        <v>97</v>
      </c>
      <c r="K43" t="s">
        <v>798</v>
      </c>
      <c r="O43" t="s">
        <v>799</v>
      </c>
      <c r="P43">
        <v>1234</v>
      </c>
      <c r="Q43" t="s">
        <v>520</v>
      </c>
      <c r="R43">
        <v>0</v>
      </c>
      <c r="S43">
        <v>30</v>
      </c>
      <c r="T43">
        <v>0</v>
      </c>
      <c r="U43">
        <v>139</v>
      </c>
      <c r="V43" s="30">
        <v>44004.427135532409</v>
      </c>
      <c r="W43">
        <v>139</v>
      </c>
      <c r="X43" s="30">
        <v>44004.427135532409</v>
      </c>
      <c r="Y43">
        <v>1</v>
      </c>
      <c r="Z43" t="s">
        <v>453</v>
      </c>
      <c r="AA43" t="s">
        <v>453</v>
      </c>
    </row>
    <row r="44" spans="1:27" x14ac:dyDescent="0.25">
      <c r="A44">
        <v>98</v>
      </c>
      <c r="B44" t="s">
        <v>800</v>
      </c>
      <c r="C44" t="s">
        <v>801</v>
      </c>
      <c r="D44" t="s">
        <v>802</v>
      </c>
      <c r="E44">
        <v>8956</v>
      </c>
      <c r="F44" t="s">
        <v>634</v>
      </c>
      <c r="G44" t="s">
        <v>515</v>
      </c>
      <c r="H44" t="s">
        <v>445</v>
      </c>
      <c r="J44">
        <v>98</v>
      </c>
      <c r="K44" t="s">
        <v>803</v>
      </c>
      <c r="L44" t="s">
        <v>804</v>
      </c>
      <c r="M44" t="s">
        <v>805</v>
      </c>
      <c r="N44" t="s">
        <v>561</v>
      </c>
      <c r="O44" t="s">
        <v>639</v>
      </c>
      <c r="P44">
        <v>7410</v>
      </c>
      <c r="Q44" t="s">
        <v>452</v>
      </c>
      <c r="R44">
        <v>3</v>
      </c>
      <c r="S44">
        <v>30</v>
      </c>
      <c r="T44">
        <v>10569</v>
      </c>
      <c r="U44">
        <v>139</v>
      </c>
      <c r="V44" s="30">
        <v>44004.427135532409</v>
      </c>
      <c r="W44">
        <v>139</v>
      </c>
      <c r="X44" s="30">
        <v>44004.427135532409</v>
      </c>
      <c r="Y44">
        <v>0</v>
      </c>
      <c r="Z44" t="s">
        <v>453</v>
      </c>
      <c r="AA44" t="s">
        <v>453</v>
      </c>
    </row>
    <row r="45" spans="1:27" x14ac:dyDescent="0.25">
      <c r="A45">
        <v>101</v>
      </c>
      <c r="B45" t="s">
        <v>806</v>
      </c>
      <c r="C45" t="s">
        <v>807</v>
      </c>
      <c r="D45" t="s">
        <v>808</v>
      </c>
      <c r="E45">
        <v>193105</v>
      </c>
      <c r="F45" t="s">
        <v>578</v>
      </c>
      <c r="G45" t="s">
        <v>458</v>
      </c>
      <c r="H45" t="s">
        <v>445</v>
      </c>
      <c r="J45">
        <v>101</v>
      </c>
      <c r="K45" t="s">
        <v>809</v>
      </c>
      <c r="P45">
        <v>193105</v>
      </c>
      <c r="Q45" t="s">
        <v>452</v>
      </c>
      <c r="R45">
        <v>0</v>
      </c>
      <c r="S45">
        <v>30</v>
      </c>
      <c r="T45">
        <v>0</v>
      </c>
      <c r="U45">
        <v>139</v>
      </c>
      <c r="V45" s="30">
        <v>44004.427135532409</v>
      </c>
      <c r="W45">
        <v>139</v>
      </c>
      <c r="X45" s="30">
        <v>44004.427135532409</v>
      </c>
      <c r="Y45">
        <v>1</v>
      </c>
      <c r="Z45" t="s">
        <v>453</v>
      </c>
      <c r="AA45" t="s">
        <v>453</v>
      </c>
    </row>
    <row r="46" spans="1:27" x14ac:dyDescent="0.25">
      <c r="A46">
        <v>102</v>
      </c>
      <c r="B46" t="s">
        <v>810</v>
      </c>
      <c r="C46" t="s">
        <v>811</v>
      </c>
      <c r="D46" t="s">
        <v>812</v>
      </c>
      <c r="E46">
        <v>12345</v>
      </c>
      <c r="F46" t="s">
        <v>578</v>
      </c>
      <c r="G46" t="s">
        <v>458</v>
      </c>
      <c r="H46" t="s">
        <v>470</v>
      </c>
      <c r="J46">
        <v>102</v>
      </c>
      <c r="K46" t="s">
        <v>813</v>
      </c>
      <c r="L46" t="s">
        <v>814</v>
      </c>
      <c r="M46" t="s">
        <v>815</v>
      </c>
      <c r="N46" t="s">
        <v>816</v>
      </c>
      <c r="P46">
        <v>12345</v>
      </c>
      <c r="Q46" t="s">
        <v>477</v>
      </c>
      <c r="R46">
        <v>4</v>
      </c>
      <c r="S46">
        <v>30</v>
      </c>
      <c r="T46">
        <v>10222</v>
      </c>
      <c r="U46">
        <v>139</v>
      </c>
      <c r="V46" s="30">
        <v>44004.42713556713</v>
      </c>
      <c r="W46">
        <v>139</v>
      </c>
      <c r="X46" s="30">
        <v>44004.42713556713</v>
      </c>
      <c r="Y46">
        <v>0</v>
      </c>
      <c r="Z46" t="s">
        <v>453</v>
      </c>
      <c r="AA46" t="s">
        <v>453</v>
      </c>
    </row>
    <row r="47" spans="1:27" x14ac:dyDescent="0.25">
      <c r="A47">
        <v>103</v>
      </c>
      <c r="B47" t="s">
        <v>817</v>
      </c>
      <c r="C47" t="s">
        <v>818</v>
      </c>
      <c r="D47" t="s">
        <v>819</v>
      </c>
      <c r="E47" t="s">
        <v>820</v>
      </c>
      <c r="F47" t="s">
        <v>821</v>
      </c>
      <c r="G47" t="s">
        <v>515</v>
      </c>
      <c r="H47" t="s">
        <v>470</v>
      </c>
      <c r="J47">
        <v>103</v>
      </c>
      <c r="K47" t="s">
        <v>822</v>
      </c>
      <c r="O47" t="s">
        <v>823</v>
      </c>
      <c r="P47" t="s">
        <v>824</v>
      </c>
      <c r="Q47" t="s">
        <v>477</v>
      </c>
      <c r="R47">
        <v>0</v>
      </c>
      <c r="S47">
        <v>30</v>
      </c>
      <c r="T47">
        <v>0</v>
      </c>
      <c r="U47">
        <v>139</v>
      </c>
      <c r="V47" s="30">
        <v>44004.427135763886</v>
      </c>
      <c r="W47">
        <v>139</v>
      </c>
      <c r="X47" s="30">
        <v>44004.427135763886</v>
      </c>
      <c r="Y47">
        <v>0</v>
      </c>
      <c r="Z47" t="s">
        <v>453</v>
      </c>
      <c r="AA47" t="s">
        <v>453</v>
      </c>
    </row>
    <row r="48" spans="1:27" x14ac:dyDescent="0.25">
      <c r="A48">
        <v>108</v>
      </c>
      <c r="B48" t="s">
        <v>825</v>
      </c>
      <c r="C48" t="s">
        <v>826</v>
      </c>
      <c r="D48" t="s">
        <v>827</v>
      </c>
      <c r="E48" t="s">
        <v>828</v>
      </c>
      <c r="F48" t="s">
        <v>829</v>
      </c>
      <c r="G48" t="s">
        <v>797</v>
      </c>
      <c r="H48" t="s">
        <v>470</v>
      </c>
      <c r="J48">
        <v>108</v>
      </c>
      <c r="K48" t="s">
        <v>830</v>
      </c>
      <c r="L48" t="s">
        <v>831</v>
      </c>
      <c r="M48" t="s">
        <v>832</v>
      </c>
      <c r="N48" t="s">
        <v>833</v>
      </c>
      <c r="O48" t="s">
        <v>834</v>
      </c>
      <c r="P48" t="s">
        <v>835</v>
      </c>
      <c r="Q48" t="s">
        <v>477</v>
      </c>
      <c r="R48">
        <v>12</v>
      </c>
      <c r="S48">
        <v>30</v>
      </c>
      <c r="T48">
        <v>5913</v>
      </c>
      <c r="U48">
        <v>139</v>
      </c>
      <c r="V48" s="30">
        <v>44004.42713556713</v>
      </c>
      <c r="W48">
        <v>139</v>
      </c>
      <c r="X48" s="30">
        <v>44004.42713556713</v>
      </c>
      <c r="Y48">
        <v>0</v>
      </c>
      <c r="Z48" t="s">
        <v>453</v>
      </c>
      <c r="AA48" t="s">
        <v>453</v>
      </c>
    </row>
    <row r="49" spans="1:27" x14ac:dyDescent="0.25">
      <c r="A49">
        <v>109</v>
      </c>
      <c r="B49" t="s">
        <v>836</v>
      </c>
      <c r="C49" t="s">
        <v>837</v>
      </c>
      <c r="D49" t="s">
        <v>838</v>
      </c>
      <c r="E49">
        <v>1234</v>
      </c>
      <c r="F49" t="s">
        <v>839</v>
      </c>
      <c r="G49" t="s">
        <v>797</v>
      </c>
      <c r="H49" t="s">
        <v>445</v>
      </c>
      <c r="J49">
        <v>109</v>
      </c>
      <c r="K49" t="s">
        <v>840</v>
      </c>
      <c r="L49" t="s">
        <v>841</v>
      </c>
      <c r="M49" t="s">
        <v>842</v>
      </c>
      <c r="N49" t="s">
        <v>843</v>
      </c>
      <c r="O49" t="s">
        <v>844</v>
      </c>
      <c r="P49">
        <v>1234</v>
      </c>
      <c r="Q49" t="s">
        <v>452</v>
      </c>
      <c r="R49">
        <v>5</v>
      </c>
      <c r="S49">
        <v>30</v>
      </c>
      <c r="T49">
        <v>11258</v>
      </c>
      <c r="U49">
        <v>139</v>
      </c>
      <c r="V49" s="30">
        <v>44004.42713556713</v>
      </c>
      <c r="W49">
        <v>139</v>
      </c>
      <c r="X49" s="30">
        <v>44004.42713556713</v>
      </c>
      <c r="Y49">
        <v>0</v>
      </c>
      <c r="Z49" t="s">
        <v>453</v>
      </c>
      <c r="AA49" t="s">
        <v>453</v>
      </c>
    </row>
    <row r="50" spans="1:27" x14ac:dyDescent="0.25">
      <c r="A50">
        <v>110</v>
      </c>
      <c r="B50" t="s">
        <v>845</v>
      </c>
      <c r="C50" t="s">
        <v>846</v>
      </c>
      <c r="D50" t="s">
        <v>847</v>
      </c>
      <c r="E50">
        <v>1234</v>
      </c>
      <c r="F50" t="s">
        <v>848</v>
      </c>
      <c r="G50" t="s">
        <v>797</v>
      </c>
      <c r="H50" t="s">
        <v>540</v>
      </c>
      <c r="J50">
        <v>110</v>
      </c>
      <c r="K50" t="s">
        <v>849</v>
      </c>
      <c r="O50" t="s">
        <v>850</v>
      </c>
      <c r="P50">
        <v>1234</v>
      </c>
      <c r="Q50" t="s">
        <v>542</v>
      </c>
      <c r="R50">
        <v>0</v>
      </c>
      <c r="S50">
        <v>30</v>
      </c>
      <c r="T50">
        <v>0</v>
      </c>
      <c r="U50">
        <v>139</v>
      </c>
      <c r="V50" s="30">
        <v>44004.42713556713</v>
      </c>
      <c r="W50">
        <v>139</v>
      </c>
      <c r="X50" s="30">
        <v>44004.42713556713</v>
      </c>
      <c r="Y50">
        <v>1</v>
      </c>
      <c r="Z50" t="s">
        <v>453</v>
      </c>
      <c r="AA50" t="s">
        <v>453</v>
      </c>
    </row>
    <row r="51" spans="1:27" x14ac:dyDescent="0.25">
      <c r="A51">
        <v>111</v>
      </c>
      <c r="B51" t="s">
        <v>594</v>
      </c>
      <c r="C51" t="s">
        <v>851</v>
      </c>
      <c r="D51" t="s">
        <v>852</v>
      </c>
      <c r="E51">
        <v>12345</v>
      </c>
      <c r="F51" t="s">
        <v>853</v>
      </c>
      <c r="G51" t="s">
        <v>515</v>
      </c>
      <c r="H51" t="s">
        <v>525</v>
      </c>
      <c r="J51">
        <v>111</v>
      </c>
      <c r="K51" t="s">
        <v>854</v>
      </c>
      <c r="L51" t="s">
        <v>600</v>
      </c>
      <c r="M51" t="s">
        <v>855</v>
      </c>
      <c r="N51" t="s">
        <v>856</v>
      </c>
      <c r="O51" t="s">
        <v>857</v>
      </c>
      <c r="P51">
        <v>12345</v>
      </c>
      <c r="Q51" t="s">
        <v>531</v>
      </c>
      <c r="R51">
        <v>4</v>
      </c>
      <c r="S51">
        <v>30</v>
      </c>
      <c r="T51">
        <v>11476</v>
      </c>
      <c r="U51">
        <v>139</v>
      </c>
      <c r="V51" s="30">
        <v>44004.427135613427</v>
      </c>
      <c r="W51">
        <v>139</v>
      </c>
      <c r="X51" s="30">
        <v>44004.427135613427</v>
      </c>
      <c r="Y51">
        <v>0</v>
      </c>
      <c r="Z51" t="s">
        <v>453</v>
      </c>
      <c r="AA51" t="s">
        <v>453</v>
      </c>
    </row>
    <row r="52" spans="1:27" x14ac:dyDescent="0.25">
      <c r="A52">
        <v>112</v>
      </c>
      <c r="B52" t="s">
        <v>858</v>
      </c>
      <c r="C52" t="s">
        <v>859</v>
      </c>
      <c r="D52" t="s">
        <v>860</v>
      </c>
      <c r="E52">
        <v>123</v>
      </c>
      <c r="F52" t="s">
        <v>578</v>
      </c>
      <c r="G52" t="s">
        <v>515</v>
      </c>
      <c r="H52" t="s">
        <v>861</v>
      </c>
      <c r="J52">
        <v>112</v>
      </c>
      <c r="K52" t="s">
        <v>862</v>
      </c>
      <c r="P52">
        <v>123</v>
      </c>
      <c r="Q52" t="s">
        <v>863</v>
      </c>
      <c r="R52">
        <v>0</v>
      </c>
      <c r="S52">
        <v>30</v>
      </c>
      <c r="T52">
        <v>0</v>
      </c>
      <c r="U52">
        <v>139</v>
      </c>
      <c r="V52" s="30">
        <v>44004.427135613427</v>
      </c>
      <c r="W52">
        <v>139</v>
      </c>
      <c r="X52" s="30">
        <v>44004.427135613427</v>
      </c>
      <c r="Y52">
        <v>1</v>
      </c>
      <c r="Z52" t="s">
        <v>453</v>
      </c>
      <c r="AA52" t="s">
        <v>453</v>
      </c>
    </row>
    <row r="53" spans="1:27" x14ac:dyDescent="0.25">
      <c r="A53">
        <v>113</v>
      </c>
      <c r="B53" t="s">
        <v>864</v>
      </c>
      <c r="C53" t="s">
        <v>865</v>
      </c>
      <c r="D53" t="s">
        <v>866</v>
      </c>
      <c r="E53" t="s">
        <v>867</v>
      </c>
      <c r="F53" t="s">
        <v>868</v>
      </c>
      <c r="G53" t="s">
        <v>469</v>
      </c>
      <c r="H53" t="s">
        <v>869</v>
      </c>
      <c r="J53">
        <v>113</v>
      </c>
      <c r="K53" t="s">
        <v>870</v>
      </c>
      <c r="O53" t="s">
        <v>871</v>
      </c>
      <c r="P53" t="s">
        <v>872</v>
      </c>
      <c r="Q53" t="s">
        <v>873</v>
      </c>
      <c r="R53">
        <v>0</v>
      </c>
      <c r="S53">
        <v>50</v>
      </c>
      <c r="T53">
        <v>0</v>
      </c>
      <c r="U53">
        <v>139</v>
      </c>
      <c r="V53" s="30">
        <v>44004.427135613427</v>
      </c>
      <c r="W53">
        <v>139</v>
      </c>
      <c r="X53" s="30">
        <v>44004.427135613427</v>
      </c>
      <c r="Y53">
        <v>1</v>
      </c>
      <c r="Z53" t="s">
        <v>453</v>
      </c>
      <c r="AA53" t="s">
        <v>453</v>
      </c>
    </row>
    <row r="54" spans="1:27" x14ac:dyDescent="0.25">
      <c r="A54">
        <v>114</v>
      </c>
      <c r="B54" t="s">
        <v>874</v>
      </c>
      <c r="C54" t="s">
        <v>606</v>
      </c>
      <c r="D54" t="s">
        <v>875</v>
      </c>
      <c r="E54" t="s">
        <v>828</v>
      </c>
      <c r="F54" t="s">
        <v>876</v>
      </c>
      <c r="G54" t="s">
        <v>483</v>
      </c>
      <c r="H54" t="s">
        <v>699</v>
      </c>
      <c r="J54">
        <v>114</v>
      </c>
      <c r="K54" t="s">
        <v>877</v>
      </c>
      <c r="O54" t="s">
        <v>878</v>
      </c>
      <c r="P54" t="s">
        <v>835</v>
      </c>
      <c r="Q54" t="s">
        <v>705</v>
      </c>
      <c r="R54">
        <v>0</v>
      </c>
      <c r="S54">
        <v>40</v>
      </c>
      <c r="T54">
        <v>0</v>
      </c>
      <c r="U54">
        <v>139</v>
      </c>
      <c r="V54" s="30">
        <v>44004.427135613427</v>
      </c>
      <c r="W54">
        <v>139</v>
      </c>
      <c r="X54" s="30">
        <v>44004.427135613427</v>
      </c>
      <c r="Y54">
        <v>1</v>
      </c>
      <c r="Z54" t="s">
        <v>453</v>
      </c>
      <c r="AA54" t="s">
        <v>453</v>
      </c>
    </row>
    <row r="55" spans="1:27" x14ac:dyDescent="0.25">
      <c r="A55">
        <v>115</v>
      </c>
      <c r="B55" t="s">
        <v>879</v>
      </c>
      <c r="C55" t="s">
        <v>880</v>
      </c>
      <c r="D55" t="s">
        <v>881</v>
      </c>
      <c r="E55">
        <v>12340</v>
      </c>
      <c r="F55" t="s">
        <v>882</v>
      </c>
      <c r="G55" t="s">
        <v>515</v>
      </c>
      <c r="H55" t="s">
        <v>470</v>
      </c>
      <c r="J55">
        <v>115</v>
      </c>
      <c r="K55" t="s">
        <v>883</v>
      </c>
      <c r="L55" t="s">
        <v>884</v>
      </c>
      <c r="M55" t="s">
        <v>509</v>
      </c>
      <c r="N55" t="s">
        <v>528</v>
      </c>
      <c r="O55" t="s">
        <v>885</v>
      </c>
      <c r="P55">
        <v>12340</v>
      </c>
      <c r="Q55" t="s">
        <v>477</v>
      </c>
      <c r="R55">
        <v>1</v>
      </c>
      <c r="S55">
        <v>30</v>
      </c>
      <c r="T55">
        <v>515</v>
      </c>
      <c r="U55">
        <v>139</v>
      </c>
      <c r="V55" s="30">
        <v>44004.427135613427</v>
      </c>
      <c r="W55">
        <v>139</v>
      </c>
      <c r="X55" s="30">
        <v>44004.427135613427</v>
      </c>
      <c r="Y55">
        <v>0</v>
      </c>
      <c r="Z55" t="s">
        <v>453</v>
      </c>
      <c r="AA55" t="s">
        <v>453</v>
      </c>
    </row>
    <row r="56" spans="1:27" x14ac:dyDescent="0.25">
      <c r="A56">
        <v>116</v>
      </c>
      <c r="B56" t="s">
        <v>886</v>
      </c>
      <c r="C56" t="s">
        <v>623</v>
      </c>
      <c r="D56" t="s">
        <v>887</v>
      </c>
      <c r="E56" t="s">
        <v>828</v>
      </c>
      <c r="F56" t="s">
        <v>578</v>
      </c>
      <c r="G56" t="s">
        <v>515</v>
      </c>
      <c r="H56" t="s">
        <v>516</v>
      </c>
      <c r="J56">
        <v>116</v>
      </c>
      <c r="K56" t="s">
        <v>888</v>
      </c>
      <c r="L56" t="s">
        <v>889</v>
      </c>
      <c r="M56" t="s">
        <v>629</v>
      </c>
      <c r="N56" t="s">
        <v>890</v>
      </c>
      <c r="P56" t="s">
        <v>835</v>
      </c>
      <c r="Q56" t="s">
        <v>520</v>
      </c>
      <c r="R56">
        <v>4</v>
      </c>
      <c r="S56">
        <v>30</v>
      </c>
      <c r="T56">
        <v>11834</v>
      </c>
      <c r="U56">
        <v>139</v>
      </c>
      <c r="V56" s="30">
        <v>44004.427135613427</v>
      </c>
      <c r="W56">
        <v>139</v>
      </c>
      <c r="X56" s="30">
        <v>44004.427135613427</v>
      </c>
      <c r="Y56">
        <v>0</v>
      </c>
      <c r="Z56" t="s">
        <v>453</v>
      </c>
      <c r="AA56" t="s">
        <v>453</v>
      </c>
    </row>
    <row r="57" spans="1:27" x14ac:dyDescent="0.25">
      <c r="A57">
        <v>120</v>
      </c>
      <c r="B57" t="s">
        <v>891</v>
      </c>
      <c r="C57" t="s">
        <v>892</v>
      </c>
      <c r="D57" t="s">
        <v>893</v>
      </c>
      <c r="E57" t="s">
        <v>894</v>
      </c>
      <c r="F57" t="s">
        <v>578</v>
      </c>
      <c r="G57" t="s">
        <v>515</v>
      </c>
      <c r="H57" t="s">
        <v>699</v>
      </c>
      <c r="J57">
        <v>120</v>
      </c>
      <c r="K57" t="s">
        <v>895</v>
      </c>
      <c r="L57" t="s">
        <v>896</v>
      </c>
      <c r="M57" t="s">
        <v>897</v>
      </c>
      <c r="N57" t="s">
        <v>898</v>
      </c>
      <c r="P57" t="s">
        <v>899</v>
      </c>
      <c r="Q57" t="s">
        <v>705</v>
      </c>
      <c r="R57">
        <v>3</v>
      </c>
      <c r="S57">
        <v>30</v>
      </c>
      <c r="T57">
        <v>11716</v>
      </c>
      <c r="U57">
        <v>139</v>
      </c>
      <c r="V57" s="30">
        <v>44004.427135613427</v>
      </c>
      <c r="W57">
        <v>139</v>
      </c>
      <c r="X57" s="30">
        <v>44004.427135613427</v>
      </c>
      <c r="Y57">
        <v>0</v>
      </c>
      <c r="Z57" t="s">
        <v>453</v>
      </c>
      <c r="AA57" t="s">
        <v>453</v>
      </c>
    </row>
    <row r="58" spans="1:27" x14ac:dyDescent="0.25">
      <c r="A58">
        <v>121</v>
      </c>
      <c r="B58" t="s">
        <v>900</v>
      </c>
      <c r="C58" t="s">
        <v>778</v>
      </c>
      <c r="D58" t="s">
        <v>901</v>
      </c>
      <c r="E58">
        <v>12340</v>
      </c>
      <c r="F58" t="s">
        <v>902</v>
      </c>
      <c r="G58" t="s">
        <v>515</v>
      </c>
      <c r="H58" t="s">
        <v>470</v>
      </c>
      <c r="J58">
        <v>121</v>
      </c>
      <c r="K58" t="s">
        <v>903</v>
      </c>
      <c r="L58" t="s">
        <v>904</v>
      </c>
      <c r="M58" t="s">
        <v>783</v>
      </c>
      <c r="N58" t="s">
        <v>905</v>
      </c>
      <c r="O58" t="s">
        <v>906</v>
      </c>
      <c r="P58">
        <v>12340</v>
      </c>
      <c r="Q58" t="s">
        <v>477</v>
      </c>
      <c r="R58">
        <v>1</v>
      </c>
      <c r="S58">
        <v>30</v>
      </c>
      <c r="T58">
        <v>7283</v>
      </c>
      <c r="U58">
        <v>139</v>
      </c>
      <c r="V58" s="30">
        <v>44004.427135648148</v>
      </c>
      <c r="W58">
        <v>139</v>
      </c>
      <c r="X58" s="30">
        <v>44004.427135648148</v>
      </c>
      <c r="Y58">
        <v>0</v>
      </c>
      <c r="Z58" t="s">
        <v>453</v>
      </c>
      <c r="AA58" t="s">
        <v>453</v>
      </c>
    </row>
    <row r="59" spans="1:27" x14ac:dyDescent="0.25">
      <c r="A59">
        <v>122</v>
      </c>
      <c r="B59" t="s">
        <v>907</v>
      </c>
      <c r="C59" t="s">
        <v>908</v>
      </c>
      <c r="D59" t="s">
        <v>909</v>
      </c>
      <c r="E59">
        <v>12340</v>
      </c>
      <c r="F59" t="s">
        <v>910</v>
      </c>
      <c r="G59" t="s">
        <v>515</v>
      </c>
      <c r="H59" t="s">
        <v>445</v>
      </c>
      <c r="J59">
        <v>122</v>
      </c>
      <c r="K59" t="s">
        <v>911</v>
      </c>
      <c r="O59" t="s">
        <v>912</v>
      </c>
      <c r="P59">
        <v>12340</v>
      </c>
      <c r="Q59" t="s">
        <v>452</v>
      </c>
      <c r="R59">
        <v>0</v>
      </c>
      <c r="S59">
        <v>30</v>
      </c>
      <c r="T59">
        <v>0</v>
      </c>
      <c r="U59">
        <v>139</v>
      </c>
      <c r="V59" s="30">
        <v>44004.427135648148</v>
      </c>
      <c r="W59">
        <v>139</v>
      </c>
      <c r="X59" s="30">
        <v>44004.427135648148</v>
      </c>
      <c r="Y59">
        <v>1</v>
      </c>
      <c r="Z59" t="s">
        <v>453</v>
      </c>
      <c r="AA59" t="s">
        <v>453</v>
      </c>
    </row>
    <row r="60" spans="1:27" x14ac:dyDescent="0.25">
      <c r="A60">
        <v>123</v>
      </c>
      <c r="B60" t="s">
        <v>464</v>
      </c>
      <c r="C60" t="s">
        <v>913</v>
      </c>
      <c r="D60" t="s">
        <v>914</v>
      </c>
      <c r="E60">
        <v>1234</v>
      </c>
      <c r="F60" t="s">
        <v>915</v>
      </c>
      <c r="G60" t="s">
        <v>515</v>
      </c>
      <c r="H60" t="s">
        <v>445</v>
      </c>
      <c r="J60">
        <v>123</v>
      </c>
      <c r="K60" t="s">
        <v>916</v>
      </c>
      <c r="L60" t="s">
        <v>917</v>
      </c>
      <c r="M60" t="s">
        <v>918</v>
      </c>
      <c r="N60" t="s">
        <v>919</v>
      </c>
      <c r="O60" t="s">
        <v>920</v>
      </c>
      <c r="P60">
        <v>1234</v>
      </c>
      <c r="Q60" t="s">
        <v>452</v>
      </c>
      <c r="R60">
        <v>5</v>
      </c>
      <c r="S60">
        <v>30</v>
      </c>
      <c r="T60">
        <v>11524</v>
      </c>
      <c r="U60">
        <v>139</v>
      </c>
      <c r="V60" s="30">
        <v>44004.427135648148</v>
      </c>
      <c r="W60">
        <v>139</v>
      </c>
      <c r="X60" s="30">
        <v>44004.427135648148</v>
      </c>
      <c r="Y60">
        <v>0</v>
      </c>
      <c r="Z60" t="s">
        <v>453</v>
      </c>
      <c r="AA60" t="s">
        <v>453</v>
      </c>
    </row>
    <row r="61" spans="1:27" x14ac:dyDescent="0.25">
      <c r="A61">
        <v>125</v>
      </c>
      <c r="B61" t="s">
        <v>921</v>
      </c>
      <c r="C61" t="s">
        <v>922</v>
      </c>
      <c r="D61" t="s">
        <v>923</v>
      </c>
      <c r="E61">
        <v>12345</v>
      </c>
      <c r="F61" t="s">
        <v>924</v>
      </c>
      <c r="G61" t="s">
        <v>515</v>
      </c>
      <c r="H61" t="s">
        <v>470</v>
      </c>
      <c r="J61">
        <v>125</v>
      </c>
      <c r="K61" t="s">
        <v>925</v>
      </c>
      <c r="L61" t="s">
        <v>926</v>
      </c>
      <c r="M61" t="s">
        <v>927</v>
      </c>
      <c r="N61" t="s">
        <v>928</v>
      </c>
      <c r="O61" t="s">
        <v>929</v>
      </c>
      <c r="P61">
        <v>12345</v>
      </c>
      <c r="Q61" t="s">
        <v>477</v>
      </c>
      <c r="R61">
        <v>1</v>
      </c>
      <c r="S61">
        <v>30</v>
      </c>
      <c r="T61">
        <v>8524</v>
      </c>
      <c r="U61">
        <v>139</v>
      </c>
      <c r="V61" s="30">
        <v>44004.427135648148</v>
      </c>
      <c r="W61">
        <v>139</v>
      </c>
      <c r="X61" s="30">
        <v>44004.427135648148</v>
      </c>
      <c r="Y61">
        <v>0</v>
      </c>
      <c r="Z61" t="s">
        <v>453</v>
      </c>
      <c r="AA61" t="s">
        <v>453</v>
      </c>
    </row>
    <row r="62" spans="1:27" x14ac:dyDescent="0.25">
      <c r="A62">
        <v>126</v>
      </c>
      <c r="B62" t="s">
        <v>930</v>
      </c>
      <c r="C62" t="s">
        <v>931</v>
      </c>
      <c r="D62" t="s">
        <v>932</v>
      </c>
      <c r="E62">
        <v>12345</v>
      </c>
      <c r="F62" t="s">
        <v>578</v>
      </c>
      <c r="G62" t="s">
        <v>515</v>
      </c>
      <c r="H62" t="s">
        <v>525</v>
      </c>
      <c r="J62">
        <v>126</v>
      </c>
      <c r="K62" t="s">
        <v>933</v>
      </c>
      <c r="P62">
        <v>12345</v>
      </c>
      <c r="Q62" t="s">
        <v>531</v>
      </c>
      <c r="R62">
        <v>0</v>
      </c>
      <c r="S62">
        <v>30</v>
      </c>
      <c r="T62">
        <v>0</v>
      </c>
      <c r="U62">
        <v>139</v>
      </c>
      <c r="V62" s="30">
        <v>44004.427135648148</v>
      </c>
      <c r="W62">
        <v>139</v>
      </c>
      <c r="X62" s="30">
        <v>44004.427135648148</v>
      </c>
      <c r="Y62">
        <v>1</v>
      </c>
      <c r="Z62" t="s">
        <v>453</v>
      </c>
      <c r="AA62" t="s">
        <v>453</v>
      </c>
    </row>
    <row r="63" spans="1:27" x14ac:dyDescent="0.25">
      <c r="A63" s="29">
        <v>127</v>
      </c>
      <c r="B63" s="29" t="s">
        <v>464</v>
      </c>
      <c r="C63" s="29" t="s">
        <v>934</v>
      </c>
      <c r="D63" s="29" t="s">
        <v>935</v>
      </c>
      <c r="E63" s="29">
        <v>1803</v>
      </c>
      <c r="F63" s="29" t="s">
        <v>578</v>
      </c>
      <c r="G63" s="29" t="s">
        <v>515</v>
      </c>
      <c r="H63" s="29" t="s">
        <v>445</v>
      </c>
      <c r="I63" s="29"/>
    </row>
    <row r="64" spans="1:27" x14ac:dyDescent="0.25">
      <c r="A64" s="29">
        <v>128</v>
      </c>
      <c r="B64" s="29" t="s">
        <v>936</v>
      </c>
      <c r="C64" s="29" t="s">
        <v>937</v>
      </c>
      <c r="D64" s="29" t="s">
        <v>938</v>
      </c>
      <c r="E64" s="29" t="s">
        <v>939</v>
      </c>
      <c r="F64" s="29" t="s">
        <v>940</v>
      </c>
      <c r="G64" s="29" t="s">
        <v>515</v>
      </c>
      <c r="H64" s="29" t="s">
        <v>445</v>
      </c>
      <c r="I64" s="29"/>
    </row>
    <row r="65" spans="1:27" x14ac:dyDescent="0.25">
      <c r="A65">
        <v>129</v>
      </c>
      <c r="B65" t="s">
        <v>936</v>
      </c>
      <c r="C65" t="s">
        <v>937</v>
      </c>
      <c r="D65" t="s">
        <v>938</v>
      </c>
      <c r="E65">
        <v>12345</v>
      </c>
      <c r="F65" t="s">
        <v>940</v>
      </c>
      <c r="G65" t="s">
        <v>515</v>
      </c>
      <c r="H65" t="s">
        <v>445</v>
      </c>
      <c r="J65">
        <v>129</v>
      </c>
      <c r="K65" t="s">
        <v>941</v>
      </c>
      <c r="L65" t="s">
        <v>942</v>
      </c>
      <c r="M65" t="s">
        <v>943</v>
      </c>
      <c r="N65" t="s">
        <v>944</v>
      </c>
      <c r="O65" t="s">
        <v>945</v>
      </c>
      <c r="P65">
        <v>12345</v>
      </c>
      <c r="Q65" t="s">
        <v>452</v>
      </c>
      <c r="R65">
        <v>4</v>
      </c>
      <c r="S65">
        <v>30</v>
      </c>
      <c r="T65">
        <v>12483</v>
      </c>
      <c r="U65">
        <v>139</v>
      </c>
      <c r="V65" s="30">
        <v>44004.427135648148</v>
      </c>
      <c r="W65">
        <v>139</v>
      </c>
      <c r="X65" s="30">
        <v>44004.427135648148</v>
      </c>
      <c r="Y65">
        <v>0</v>
      </c>
      <c r="Z65" t="s">
        <v>453</v>
      </c>
      <c r="AA65" t="s">
        <v>453</v>
      </c>
    </row>
    <row r="66" spans="1:27" x14ac:dyDescent="0.25">
      <c r="A66">
        <v>131</v>
      </c>
      <c r="B66" t="s">
        <v>907</v>
      </c>
      <c r="C66" t="s">
        <v>522</v>
      </c>
      <c r="D66" t="s">
        <v>946</v>
      </c>
      <c r="E66" t="s">
        <v>828</v>
      </c>
      <c r="F66" t="s">
        <v>578</v>
      </c>
      <c r="G66" t="s">
        <v>515</v>
      </c>
      <c r="H66" t="s">
        <v>470</v>
      </c>
      <c r="J66">
        <v>131</v>
      </c>
      <c r="K66" t="s">
        <v>947</v>
      </c>
      <c r="L66" t="s">
        <v>948</v>
      </c>
      <c r="M66" t="s">
        <v>528</v>
      </c>
      <c r="N66" t="s">
        <v>949</v>
      </c>
      <c r="P66" t="s">
        <v>835</v>
      </c>
      <c r="Q66" t="s">
        <v>477</v>
      </c>
      <c r="R66">
        <v>3</v>
      </c>
      <c r="S66">
        <v>30</v>
      </c>
      <c r="T66">
        <v>3719</v>
      </c>
      <c r="U66">
        <v>139</v>
      </c>
      <c r="V66" s="30">
        <v>44004.427135648148</v>
      </c>
      <c r="W66">
        <v>139</v>
      </c>
      <c r="X66" s="30">
        <v>44004.427135648148</v>
      </c>
      <c r="Y66">
        <v>0</v>
      </c>
      <c r="Z66" t="s">
        <v>453</v>
      </c>
      <c r="AA66" t="s">
        <v>453</v>
      </c>
    </row>
    <row r="67" spans="1:27" x14ac:dyDescent="0.25">
      <c r="A67">
        <v>132</v>
      </c>
      <c r="B67" t="s">
        <v>950</v>
      </c>
      <c r="C67" t="s">
        <v>846</v>
      </c>
      <c r="D67" t="s">
        <v>951</v>
      </c>
      <c r="E67">
        <v>123456</v>
      </c>
      <c r="F67" t="s">
        <v>578</v>
      </c>
      <c r="G67" t="s">
        <v>515</v>
      </c>
      <c r="H67" t="s">
        <v>470</v>
      </c>
      <c r="J67">
        <v>132</v>
      </c>
      <c r="K67" t="s">
        <v>952</v>
      </c>
      <c r="L67" t="s">
        <v>953</v>
      </c>
      <c r="M67" t="s">
        <v>954</v>
      </c>
      <c r="N67" t="s">
        <v>561</v>
      </c>
      <c r="P67">
        <v>123456</v>
      </c>
      <c r="Q67" t="s">
        <v>477</v>
      </c>
      <c r="R67">
        <v>4</v>
      </c>
      <c r="S67">
        <v>30</v>
      </c>
      <c r="T67">
        <v>12662</v>
      </c>
      <c r="U67">
        <v>139</v>
      </c>
      <c r="V67" s="30">
        <v>44004.427135648148</v>
      </c>
      <c r="W67">
        <v>139</v>
      </c>
      <c r="X67" s="30">
        <v>44004.427135648148</v>
      </c>
      <c r="Y67">
        <v>0</v>
      </c>
      <c r="Z67" t="s">
        <v>453</v>
      </c>
      <c r="AA67" t="s">
        <v>453</v>
      </c>
    </row>
    <row r="68" spans="1:27" x14ac:dyDescent="0.25">
      <c r="A68">
        <v>134</v>
      </c>
      <c r="B68" t="s">
        <v>955</v>
      </c>
      <c r="C68" t="s">
        <v>846</v>
      </c>
      <c r="D68" t="s">
        <v>956</v>
      </c>
      <c r="E68" t="s">
        <v>828</v>
      </c>
      <c r="F68" t="s">
        <v>578</v>
      </c>
      <c r="G68" t="s">
        <v>515</v>
      </c>
      <c r="H68" t="s">
        <v>470</v>
      </c>
      <c r="J68">
        <v>134</v>
      </c>
      <c r="K68" t="s">
        <v>957</v>
      </c>
      <c r="L68" t="s">
        <v>958</v>
      </c>
      <c r="M68" t="s">
        <v>954</v>
      </c>
      <c r="N68" t="s">
        <v>590</v>
      </c>
      <c r="P68" t="s">
        <v>835</v>
      </c>
      <c r="Q68" t="s">
        <v>477</v>
      </c>
      <c r="R68">
        <v>4</v>
      </c>
      <c r="S68">
        <v>30</v>
      </c>
      <c r="T68">
        <v>12722</v>
      </c>
      <c r="U68">
        <v>139</v>
      </c>
      <c r="V68" s="30">
        <v>44004.427135682869</v>
      </c>
      <c r="W68">
        <v>139</v>
      </c>
      <c r="X68" s="30">
        <v>44004.427135682869</v>
      </c>
      <c r="Y68">
        <v>0</v>
      </c>
      <c r="Z68" t="s">
        <v>453</v>
      </c>
      <c r="AA68" t="s">
        <v>453</v>
      </c>
    </row>
    <row r="69" spans="1:27" x14ac:dyDescent="0.25">
      <c r="A69">
        <v>135</v>
      </c>
      <c r="B69" t="s">
        <v>959</v>
      </c>
      <c r="C69" t="s">
        <v>623</v>
      </c>
      <c r="D69" t="s">
        <v>960</v>
      </c>
      <c r="E69" t="s">
        <v>828</v>
      </c>
      <c r="F69" t="s">
        <v>578</v>
      </c>
      <c r="G69" t="s">
        <v>515</v>
      </c>
      <c r="H69" t="s">
        <v>869</v>
      </c>
      <c r="J69">
        <v>135</v>
      </c>
      <c r="K69" t="s">
        <v>961</v>
      </c>
      <c r="L69" t="s">
        <v>962</v>
      </c>
      <c r="M69" t="s">
        <v>629</v>
      </c>
      <c r="N69" t="s">
        <v>963</v>
      </c>
      <c r="P69" t="s">
        <v>835</v>
      </c>
      <c r="Q69" t="s">
        <v>873</v>
      </c>
      <c r="R69">
        <v>2</v>
      </c>
      <c r="S69">
        <v>30</v>
      </c>
      <c r="T69">
        <v>11943</v>
      </c>
      <c r="U69">
        <v>139</v>
      </c>
      <c r="V69" s="30">
        <v>44004.427135682869</v>
      </c>
      <c r="W69">
        <v>139</v>
      </c>
      <c r="X69" s="30">
        <v>44004.427135682869</v>
      </c>
      <c r="Y69">
        <v>0</v>
      </c>
      <c r="Z69" t="s">
        <v>453</v>
      </c>
      <c r="AA69" t="s">
        <v>453</v>
      </c>
    </row>
    <row r="70" spans="1:27" x14ac:dyDescent="0.25">
      <c r="A70">
        <v>136</v>
      </c>
      <c r="B70" t="s">
        <v>964</v>
      </c>
      <c r="C70" t="s">
        <v>965</v>
      </c>
      <c r="D70" t="s">
        <v>966</v>
      </c>
      <c r="E70">
        <v>1394</v>
      </c>
      <c r="F70" t="s">
        <v>578</v>
      </c>
      <c r="G70" t="s">
        <v>515</v>
      </c>
      <c r="H70" t="s">
        <v>699</v>
      </c>
      <c r="J70">
        <v>136</v>
      </c>
      <c r="K70" t="s">
        <v>967</v>
      </c>
      <c r="L70" t="s">
        <v>968</v>
      </c>
      <c r="M70" t="s">
        <v>969</v>
      </c>
      <c r="N70" t="s">
        <v>487</v>
      </c>
      <c r="P70">
        <v>1394</v>
      </c>
      <c r="Q70" t="s">
        <v>705</v>
      </c>
      <c r="R70">
        <v>3</v>
      </c>
      <c r="S70">
        <v>30</v>
      </c>
      <c r="T70">
        <v>12844</v>
      </c>
      <c r="U70">
        <v>139</v>
      </c>
      <c r="V70" s="30">
        <v>44004.427135682869</v>
      </c>
      <c r="W70">
        <v>139</v>
      </c>
      <c r="X70" s="30">
        <v>44004.427135682869</v>
      </c>
      <c r="Y70">
        <v>0</v>
      </c>
      <c r="Z70" t="s">
        <v>453</v>
      </c>
      <c r="AA70" t="s">
        <v>453</v>
      </c>
    </row>
    <row r="71" spans="1:27" x14ac:dyDescent="0.25">
      <c r="A71">
        <v>137</v>
      </c>
      <c r="B71" t="s">
        <v>464</v>
      </c>
      <c r="C71" t="s">
        <v>970</v>
      </c>
      <c r="D71" t="s">
        <v>971</v>
      </c>
      <c r="E71">
        <v>1234</v>
      </c>
      <c r="F71" t="s">
        <v>972</v>
      </c>
      <c r="G71" t="s">
        <v>515</v>
      </c>
      <c r="H71" t="s">
        <v>470</v>
      </c>
      <c r="J71">
        <v>137</v>
      </c>
      <c r="K71" t="s">
        <v>973</v>
      </c>
      <c r="L71" t="s">
        <v>974</v>
      </c>
      <c r="M71" t="s">
        <v>905</v>
      </c>
      <c r="N71" t="s">
        <v>975</v>
      </c>
      <c r="O71" t="s">
        <v>976</v>
      </c>
      <c r="P71">
        <v>1234</v>
      </c>
      <c r="Q71" t="s">
        <v>477</v>
      </c>
      <c r="R71">
        <v>1</v>
      </c>
      <c r="S71">
        <v>30</v>
      </c>
      <c r="T71">
        <v>6897</v>
      </c>
      <c r="U71">
        <v>139</v>
      </c>
      <c r="V71" s="30">
        <v>44004.427135682869</v>
      </c>
      <c r="W71">
        <v>139</v>
      </c>
      <c r="X71" s="30">
        <v>44004.427135682869</v>
      </c>
      <c r="Y71">
        <v>0</v>
      </c>
      <c r="Z71" t="s">
        <v>453</v>
      </c>
      <c r="AA71" t="s">
        <v>453</v>
      </c>
    </row>
    <row r="72" spans="1:27" x14ac:dyDescent="0.25">
      <c r="A72">
        <v>138</v>
      </c>
      <c r="B72" t="s">
        <v>977</v>
      </c>
      <c r="C72" t="s">
        <v>978</v>
      </c>
      <c r="D72" t="s">
        <v>979</v>
      </c>
      <c r="E72">
        <v>247328</v>
      </c>
      <c r="F72" t="s">
        <v>578</v>
      </c>
      <c r="G72" t="s">
        <v>483</v>
      </c>
      <c r="H72" t="s">
        <v>470</v>
      </c>
      <c r="J72">
        <v>138</v>
      </c>
      <c r="K72" t="s">
        <v>980</v>
      </c>
      <c r="L72" t="s">
        <v>981</v>
      </c>
      <c r="M72" t="s">
        <v>982</v>
      </c>
      <c r="N72" t="s">
        <v>983</v>
      </c>
      <c r="P72">
        <v>247328</v>
      </c>
      <c r="Q72" t="s">
        <v>477</v>
      </c>
      <c r="R72">
        <v>12</v>
      </c>
      <c r="S72">
        <v>40</v>
      </c>
      <c r="T72">
        <v>9762</v>
      </c>
      <c r="U72">
        <v>139</v>
      </c>
      <c r="V72" s="30">
        <v>44004.427135682869</v>
      </c>
      <c r="W72">
        <v>139</v>
      </c>
      <c r="X72" s="30">
        <v>44004.427135682869</v>
      </c>
      <c r="Y72">
        <v>0</v>
      </c>
      <c r="Z72" t="s">
        <v>453</v>
      </c>
      <c r="AA72" t="s">
        <v>453</v>
      </c>
    </row>
    <row r="73" spans="1:27" x14ac:dyDescent="0.25">
      <c r="A73">
        <v>139</v>
      </c>
      <c r="B73" t="s">
        <v>583</v>
      </c>
      <c r="C73" t="s">
        <v>984</v>
      </c>
      <c r="D73" t="s">
        <v>985</v>
      </c>
      <c r="E73">
        <v>11111111</v>
      </c>
      <c r="F73" t="s">
        <v>986</v>
      </c>
      <c r="G73" t="s">
        <v>515</v>
      </c>
      <c r="H73" t="s">
        <v>869</v>
      </c>
      <c r="J73">
        <v>139</v>
      </c>
      <c r="K73" t="s">
        <v>987</v>
      </c>
      <c r="L73" t="s">
        <v>589</v>
      </c>
      <c r="M73" t="s">
        <v>988</v>
      </c>
      <c r="N73" t="s">
        <v>487</v>
      </c>
      <c r="O73" t="s">
        <v>989</v>
      </c>
      <c r="P73">
        <v>11111111</v>
      </c>
      <c r="Q73" t="s">
        <v>873</v>
      </c>
      <c r="R73">
        <v>7</v>
      </c>
      <c r="S73">
        <v>30</v>
      </c>
      <c r="T73">
        <v>13164</v>
      </c>
      <c r="U73">
        <v>139</v>
      </c>
      <c r="V73" s="30">
        <v>44004.427135682869</v>
      </c>
      <c r="W73">
        <v>139</v>
      </c>
      <c r="X73" s="30">
        <v>44004.427135682869</v>
      </c>
      <c r="Y73">
        <v>0</v>
      </c>
      <c r="Z73" t="s">
        <v>453</v>
      </c>
      <c r="AA73" t="s">
        <v>453</v>
      </c>
    </row>
    <row r="74" spans="1:27" x14ac:dyDescent="0.25">
      <c r="A74">
        <v>140</v>
      </c>
      <c r="B74" t="s">
        <v>464</v>
      </c>
      <c r="C74" t="s">
        <v>934</v>
      </c>
      <c r="D74" t="s">
        <v>935</v>
      </c>
      <c r="E74" t="s">
        <v>828</v>
      </c>
      <c r="F74" t="s">
        <v>990</v>
      </c>
      <c r="G74" t="s">
        <v>515</v>
      </c>
      <c r="H74" t="s">
        <v>445</v>
      </c>
      <c r="J74">
        <v>140</v>
      </c>
      <c r="K74" t="s">
        <v>991</v>
      </c>
      <c r="L74" t="s">
        <v>992</v>
      </c>
      <c r="M74" t="s">
        <v>993</v>
      </c>
      <c r="N74" t="s">
        <v>994</v>
      </c>
      <c r="O74" t="s">
        <v>995</v>
      </c>
      <c r="P74" t="s">
        <v>835</v>
      </c>
      <c r="Q74" t="s">
        <v>452</v>
      </c>
      <c r="R74">
        <v>4</v>
      </c>
      <c r="S74">
        <v>30</v>
      </c>
      <c r="T74">
        <v>8537</v>
      </c>
      <c r="U74">
        <v>139</v>
      </c>
      <c r="V74" s="30">
        <v>44004.427135729165</v>
      </c>
      <c r="W74">
        <v>139</v>
      </c>
      <c r="X74" s="30">
        <v>44004.427135729165</v>
      </c>
      <c r="Y74">
        <v>0</v>
      </c>
      <c r="Z74" t="s">
        <v>453</v>
      </c>
      <c r="AA74" t="s">
        <v>453</v>
      </c>
    </row>
    <row r="75" spans="1:27" x14ac:dyDescent="0.25">
      <c r="A75">
        <v>141</v>
      </c>
      <c r="B75" t="s">
        <v>996</v>
      </c>
      <c r="C75" t="s">
        <v>997</v>
      </c>
      <c r="D75" t="s">
        <v>998</v>
      </c>
      <c r="E75" t="s">
        <v>828</v>
      </c>
      <c r="F75" t="s">
        <v>578</v>
      </c>
      <c r="G75" t="s">
        <v>515</v>
      </c>
      <c r="H75" t="s">
        <v>470</v>
      </c>
      <c r="J75">
        <v>141</v>
      </c>
      <c r="K75" t="s">
        <v>999</v>
      </c>
      <c r="L75" t="s">
        <v>1000</v>
      </c>
      <c r="M75" t="s">
        <v>731</v>
      </c>
      <c r="N75" t="s">
        <v>731</v>
      </c>
      <c r="P75" t="s">
        <v>835</v>
      </c>
      <c r="Q75" t="s">
        <v>477</v>
      </c>
      <c r="R75">
        <v>4</v>
      </c>
      <c r="S75">
        <v>30</v>
      </c>
      <c r="T75">
        <v>12602</v>
      </c>
      <c r="U75">
        <v>139</v>
      </c>
      <c r="V75" s="30">
        <v>44004.427135729165</v>
      </c>
      <c r="W75">
        <v>139</v>
      </c>
      <c r="X75" s="30">
        <v>44004.427135729165</v>
      </c>
      <c r="Y75">
        <v>0</v>
      </c>
      <c r="Z75" t="s">
        <v>453</v>
      </c>
      <c r="AA75" t="s">
        <v>453</v>
      </c>
    </row>
    <row r="76" spans="1:27" x14ac:dyDescent="0.25">
      <c r="A76">
        <v>142</v>
      </c>
      <c r="B76" t="s">
        <v>1001</v>
      </c>
      <c r="C76" t="s">
        <v>1002</v>
      </c>
      <c r="D76" t="s">
        <v>1003</v>
      </c>
      <c r="E76" t="s">
        <v>828</v>
      </c>
      <c r="F76" t="s">
        <v>1004</v>
      </c>
      <c r="G76" t="s">
        <v>515</v>
      </c>
      <c r="H76" t="s">
        <v>470</v>
      </c>
      <c r="J76">
        <v>142</v>
      </c>
      <c r="K76" t="s">
        <v>1005</v>
      </c>
      <c r="L76" t="s">
        <v>1006</v>
      </c>
      <c r="M76" t="s">
        <v>1007</v>
      </c>
      <c r="N76" t="s">
        <v>1008</v>
      </c>
      <c r="O76" t="s">
        <v>1009</v>
      </c>
      <c r="P76" t="s">
        <v>835</v>
      </c>
      <c r="Q76" t="s">
        <v>477</v>
      </c>
      <c r="R76">
        <v>4</v>
      </c>
      <c r="S76">
        <v>30</v>
      </c>
      <c r="T76">
        <v>13270</v>
      </c>
      <c r="U76">
        <v>139</v>
      </c>
      <c r="V76" s="30">
        <v>44004.427135729165</v>
      </c>
      <c r="W76">
        <v>139</v>
      </c>
      <c r="X76" s="30">
        <v>44004.427135729165</v>
      </c>
      <c r="Y76">
        <v>0</v>
      </c>
      <c r="Z76" t="s">
        <v>453</v>
      </c>
      <c r="AA76" t="s">
        <v>453</v>
      </c>
    </row>
    <row r="77" spans="1:27" x14ac:dyDescent="0.25">
      <c r="A77">
        <v>143</v>
      </c>
      <c r="B77" t="s">
        <v>1010</v>
      </c>
      <c r="C77" t="s">
        <v>1011</v>
      </c>
      <c r="D77" t="s">
        <v>1012</v>
      </c>
      <c r="E77">
        <v>80916</v>
      </c>
      <c r="F77" t="s">
        <v>578</v>
      </c>
      <c r="G77" t="s">
        <v>515</v>
      </c>
      <c r="H77" t="s">
        <v>699</v>
      </c>
      <c r="J77">
        <v>143</v>
      </c>
      <c r="K77" t="s">
        <v>1013</v>
      </c>
      <c r="P77">
        <v>80916</v>
      </c>
      <c r="Q77" t="s">
        <v>705</v>
      </c>
      <c r="R77">
        <v>0</v>
      </c>
      <c r="S77">
        <v>30</v>
      </c>
      <c r="T77">
        <v>0</v>
      </c>
      <c r="U77">
        <v>139</v>
      </c>
      <c r="V77" s="30">
        <v>44004.427135729165</v>
      </c>
      <c r="W77">
        <v>139</v>
      </c>
      <c r="X77" s="30">
        <v>44004.427135729165</v>
      </c>
      <c r="Y77">
        <v>1</v>
      </c>
      <c r="Z77" t="s">
        <v>453</v>
      </c>
      <c r="AA77" t="s">
        <v>453</v>
      </c>
    </row>
    <row r="78" spans="1:27" x14ac:dyDescent="0.25">
      <c r="A78">
        <v>144</v>
      </c>
      <c r="B78" t="s">
        <v>777</v>
      </c>
      <c r="C78" t="s">
        <v>1014</v>
      </c>
      <c r="D78" t="s">
        <v>1015</v>
      </c>
      <c r="E78" t="s">
        <v>828</v>
      </c>
      <c r="F78" t="s">
        <v>1016</v>
      </c>
      <c r="G78" t="s">
        <v>515</v>
      </c>
      <c r="H78" t="s">
        <v>470</v>
      </c>
      <c r="J78">
        <v>144</v>
      </c>
      <c r="K78" t="s">
        <v>1017</v>
      </c>
      <c r="L78" t="s">
        <v>1018</v>
      </c>
      <c r="M78" t="s">
        <v>1019</v>
      </c>
      <c r="N78" t="s">
        <v>1020</v>
      </c>
      <c r="O78" t="s">
        <v>1021</v>
      </c>
      <c r="P78" t="s">
        <v>835</v>
      </c>
      <c r="Q78" t="s">
        <v>477</v>
      </c>
      <c r="R78">
        <v>7</v>
      </c>
      <c r="S78">
        <v>30</v>
      </c>
      <c r="T78">
        <v>13367</v>
      </c>
      <c r="U78">
        <v>139</v>
      </c>
      <c r="V78" s="30">
        <v>44004.427135729165</v>
      </c>
      <c r="W78">
        <v>139</v>
      </c>
      <c r="X78" s="30">
        <v>44004.427135729165</v>
      </c>
      <c r="Y78">
        <v>0</v>
      </c>
      <c r="Z78" t="s">
        <v>453</v>
      </c>
      <c r="AA78" t="s">
        <v>453</v>
      </c>
    </row>
    <row r="79" spans="1:27" x14ac:dyDescent="0.25">
      <c r="A79">
        <v>145</v>
      </c>
      <c r="B79" t="s">
        <v>1022</v>
      </c>
      <c r="C79" t="s">
        <v>1023</v>
      </c>
      <c r="D79" t="s">
        <v>1024</v>
      </c>
      <c r="E79" t="s">
        <v>828</v>
      </c>
      <c r="F79" t="s">
        <v>1025</v>
      </c>
      <c r="G79" t="s">
        <v>626</v>
      </c>
      <c r="H79" t="s">
        <v>470</v>
      </c>
      <c r="J79">
        <v>145</v>
      </c>
      <c r="K79" t="s">
        <v>1026</v>
      </c>
      <c r="L79" t="s">
        <v>1027</v>
      </c>
      <c r="M79" t="s">
        <v>1028</v>
      </c>
      <c r="N79" t="s">
        <v>1029</v>
      </c>
      <c r="O79" t="s">
        <v>1030</v>
      </c>
      <c r="P79" t="s">
        <v>835</v>
      </c>
      <c r="Q79" t="s">
        <v>477</v>
      </c>
      <c r="R79">
        <v>2</v>
      </c>
      <c r="S79">
        <v>30</v>
      </c>
      <c r="T79">
        <v>12834</v>
      </c>
      <c r="U79">
        <v>139</v>
      </c>
      <c r="V79" s="30">
        <v>44004.427135729165</v>
      </c>
      <c r="W79">
        <v>139</v>
      </c>
      <c r="X79" s="30">
        <v>44004.427135729165</v>
      </c>
      <c r="Y79">
        <v>0</v>
      </c>
      <c r="Z79" t="s">
        <v>453</v>
      </c>
      <c r="AA79" t="s">
        <v>453</v>
      </c>
    </row>
    <row r="80" spans="1:27" x14ac:dyDescent="0.25">
      <c r="A80">
        <v>146</v>
      </c>
      <c r="B80" t="s">
        <v>1031</v>
      </c>
      <c r="C80" t="s">
        <v>970</v>
      </c>
      <c r="D80" t="s">
        <v>1032</v>
      </c>
      <c r="E80" t="s">
        <v>828</v>
      </c>
      <c r="F80" t="s">
        <v>1033</v>
      </c>
      <c r="G80" t="s">
        <v>515</v>
      </c>
      <c r="H80" t="s">
        <v>470</v>
      </c>
      <c r="J80">
        <v>146</v>
      </c>
      <c r="K80" t="s">
        <v>1034</v>
      </c>
      <c r="L80" t="s">
        <v>1035</v>
      </c>
      <c r="M80" t="s">
        <v>905</v>
      </c>
      <c r="N80" t="s">
        <v>629</v>
      </c>
      <c r="O80" t="s">
        <v>1036</v>
      </c>
      <c r="P80" t="s">
        <v>835</v>
      </c>
      <c r="Q80" t="s">
        <v>477</v>
      </c>
      <c r="R80">
        <v>2</v>
      </c>
      <c r="S80">
        <v>30</v>
      </c>
      <c r="T80">
        <v>13107</v>
      </c>
      <c r="U80">
        <v>139</v>
      </c>
      <c r="V80" s="30">
        <v>44004.427135729165</v>
      </c>
      <c r="W80">
        <v>139</v>
      </c>
      <c r="X80" s="30">
        <v>44004.427135729165</v>
      </c>
      <c r="Y80">
        <v>0</v>
      </c>
      <c r="Z80" t="s">
        <v>453</v>
      </c>
      <c r="AA80" t="s">
        <v>453</v>
      </c>
    </row>
    <row r="81" spans="1:8" x14ac:dyDescent="0.25">
      <c r="A81">
        <v>147</v>
      </c>
      <c r="B81" t="s">
        <v>1037</v>
      </c>
      <c r="C81" t="s">
        <v>1038</v>
      </c>
      <c r="D81" t="s">
        <v>1039</v>
      </c>
      <c r="E81" t="s">
        <v>828</v>
      </c>
      <c r="F81" t="s">
        <v>1040</v>
      </c>
      <c r="G81" t="s">
        <v>515</v>
      </c>
      <c r="H81" t="s">
        <v>470</v>
      </c>
    </row>
    <row r="82" spans="1:8" x14ac:dyDescent="0.25">
      <c r="A82">
        <v>148</v>
      </c>
      <c r="B82" t="s">
        <v>501</v>
      </c>
      <c r="C82" t="s">
        <v>786</v>
      </c>
      <c r="D82" t="s">
        <v>1041</v>
      </c>
      <c r="E82" t="s">
        <v>828</v>
      </c>
      <c r="F82" t="s">
        <v>1042</v>
      </c>
      <c r="G82" t="s">
        <v>515</v>
      </c>
      <c r="H82" t="s">
        <v>470</v>
      </c>
    </row>
    <row r="83" spans="1:8" x14ac:dyDescent="0.25">
      <c r="A83">
        <v>149</v>
      </c>
      <c r="B83" t="s">
        <v>1043</v>
      </c>
      <c r="C83" t="s">
        <v>584</v>
      </c>
      <c r="D83" t="s">
        <v>1044</v>
      </c>
      <c r="E83" t="s">
        <v>1045</v>
      </c>
      <c r="F83" t="s">
        <v>1046</v>
      </c>
      <c r="G83" t="s">
        <v>515</v>
      </c>
      <c r="H83" t="s">
        <v>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75"/>
  <sheetViews>
    <sheetView workbookViewId="0">
      <selection activeCell="D21" sqref="D21"/>
    </sheetView>
  </sheetViews>
  <sheetFormatPr defaultRowHeight="15" x14ac:dyDescent="0.25"/>
  <cols>
    <col min="3" max="3" width="25.140625" bestFit="1" customWidth="1"/>
    <col min="4" max="4" width="24" customWidth="1"/>
    <col min="6" max="6" width="12" customWidth="1"/>
    <col min="8" max="8" width="27.42578125" bestFit="1" customWidth="1"/>
    <col min="9" max="9" width="26.28515625" bestFit="1" customWidth="1"/>
    <col min="10" max="10" width="20.85546875" bestFit="1" customWidth="1"/>
  </cols>
  <sheetData>
    <row r="3" spans="2:17" x14ac:dyDescent="0.25">
      <c r="B3" t="s">
        <v>306</v>
      </c>
      <c r="C3" t="s">
        <v>307</v>
      </c>
      <c r="D3" t="s">
        <v>308</v>
      </c>
      <c r="F3" t="s">
        <v>309</v>
      </c>
      <c r="G3" t="s">
        <v>310</v>
      </c>
      <c r="H3" t="s">
        <v>311</v>
      </c>
      <c r="I3" t="s">
        <v>312</v>
      </c>
      <c r="J3" t="s">
        <v>313</v>
      </c>
      <c r="K3" t="s">
        <v>314</v>
      </c>
      <c r="L3" t="s">
        <v>315</v>
      </c>
      <c r="M3" t="s">
        <v>316</v>
      </c>
      <c r="N3" t="s">
        <v>317</v>
      </c>
      <c r="O3" t="s">
        <v>318</v>
      </c>
      <c r="P3" t="s">
        <v>319</v>
      </c>
      <c r="Q3" t="s">
        <v>320</v>
      </c>
    </row>
    <row r="4" spans="2:17" s="27" customFormat="1" x14ac:dyDescent="0.25">
      <c r="B4" s="27">
        <v>1</v>
      </c>
      <c r="C4" s="27" t="s">
        <v>321</v>
      </c>
      <c r="D4" s="27" t="s">
        <v>322</v>
      </c>
      <c r="E4" s="10"/>
      <c r="F4" s="27" t="s">
        <v>323</v>
      </c>
      <c r="G4" s="27">
        <v>1</v>
      </c>
      <c r="H4" s="27" t="s">
        <v>99</v>
      </c>
      <c r="I4" s="27" t="s">
        <v>100</v>
      </c>
      <c r="J4" s="27" t="s">
        <v>101</v>
      </c>
      <c r="K4" s="27">
        <v>1</v>
      </c>
      <c r="N4" s="27">
        <v>1</v>
      </c>
      <c r="O4" s="27">
        <v>70</v>
      </c>
      <c r="P4" s="27">
        <v>0</v>
      </c>
      <c r="Q4" s="27">
        <v>1</v>
      </c>
    </row>
    <row r="5" spans="2:17" s="27" customFormat="1" x14ac:dyDescent="0.25">
      <c r="B5" s="27">
        <v>2</v>
      </c>
      <c r="C5" s="27" t="s">
        <v>324</v>
      </c>
      <c r="D5" s="27" t="s">
        <v>322</v>
      </c>
      <c r="E5" s="10"/>
      <c r="F5" s="27" t="s">
        <v>323</v>
      </c>
      <c r="G5" s="27">
        <v>2</v>
      </c>
      <c r="H5" s="27" t="s">
        <v>102</v>
      </c>
      <c r="I5" s="27" t="s">
        <v>103</v>
      </c>
      <c r="J5" s="27" t="s">
        <v>104</v>
      </c>
      <c r="K5" s="27">
        <v>2</v>
      </c>
      <c r="N5" s="27">
        <v>1</v>
      </c>
      <c r="O5" s="27">
        <v>70</v>
      </c>
      <c r="P5" s="27">
        <v>0</v>
      </c>
      <c r="Q5" s="27">
        <v>30</v>
      </c>
    </row>
    <row r="6" spans="2:17" s="27" customFormat="1" x14ac:dyDescent="0.25">
      <c r="B6" s="27">
        <v>3</v>
      </c>
      <c r="C6" s="27" t="s">
        <v>325</v>
      </c>
      <c r="D6" s="27" t="s">
        <v>322</v>
      </c>
      <c r="E6" s="10"/>
      <c r="F6" s="27" t="s">
        <v>323</v>
      </c>
      <c r="G6" s="27">
        <v>3</v>
      </c>
      <c r="H6" s="27" t="s">
        <v>105</v>
      </c>
      <c r="I6" s="27" t="s">
        <v>106</v>
      </c>
      <c r="J6" s="27" t="s">
        <v>107</v>
      </c>
      <c r="K6" s="27">
        <v>3</v>
      </c>
      <c r="N6" s="27">
        <v>1</v>
      </c>
      <c r="O6" s="27">
        <v>70</v>
      </c>
      <c r="P6" s="27">
        <v>0</v>
      </c>
      <c r="Q6" s="27">
        <v>26</v>
      </c>
    </row>
    <row r="7" spans="2:17" s="27" customFormat="1" x14ac:dyDescent="0.25">
      <c r="B7" s="27">
        <v>4</v>
      </c>
      <c r="C7" s="27" t="s">
        <v>326</v>
      </c>
      <c r="D7" s="27" t="s">
        <v>322</v>
      </c>
      <c r="E7" s="10"/>
      <c r="F7" s="27" t="s">
        <v>323</v>
      </c>
      <c r="G7" s="27">
        <v>4</v>
      </c>
      <c r="H7" s="27" t="s">
        <v>108</v>
      </c>
      <c r="I7" s="27" t="s">
        <v>109</v>
      </c>
      <c r="J7" s="27" t="s">
        <v>110</v>
      </c>
      <c r="K7" s="27">
        <v>4</v>
      </c>
      <c r="N7" s="27">
        <v>1</v>
      </c>
      <c r="O7" s="27">
        <v>70</v>
      </c>
      <c r="P7" s="27">
        <v>0</v>
      </c>
      <c r="Q7" s="27">
        <v>24</v>
      </c>
    </row>
    <row r="8" spans="2:17" s="27" customFormat="1" x14ac:dyDescent="0.25">
      <c r="B8" s="27">
        <v>5</v>
      </c>
      <c r="C8" s="27" t="s">
        <v>327</v>
      </c>
      <c r="D8" s="27" t="s">
        <v>328</v>
      </c>
      <c r="E8" s="10"/>
      <c r="F8" s="27" t="s">
        <v>329</v>
      </c>
      <c r="G8" s="27">
        <v>5</v>
      </c>
      <c r="H8" s="27" t="s">
        <v>111</v>
      </c>
      <c r="I8" s="27" t="s">
        <v>112</v>
      </c>
      <c r="J8" s="27" t="s">
        <v>113</v>
      </c>
      <c r="K8" s="27">
        <v>5</v>
      </c>
      <c r="N8" s="27">
        <v>1</v>
      </c>
      <c r="O8" s="27">
        <v>60</v>
      </c>
      <c r="P8" s="27">
        <v>0</v>
      </c>
      <c r="Q8" s="27">
        <v>21</v>
      </c>
    </row>
    <row r="9" spans="2:17" s="27" customFormat="1" x14ac:dyDescent="0.25">
      <c r="B9" s="27">
        <v>6</v>
      </c>
      <c r="C9" s="27" t="s">
        <v>330</v>
      </c>
      <c r="D9" s="27" t="s">
        <v>328</v>
      </c>
      <c r="E9" s="10"/>
      <c r="F9" s="27" t="s">
        <v>329</v>
      </c>
      <c r="G9" s="27">
        <v>6</v>
      </c>
      <c r="H9" s="27" t="s">
        <v>114</v>
      </c>
      <c r="I9" s="27" t="s">
        <v>115</v>
      </c>
      <c r="J9" s="27" t="s">
        <v>116</v>
      </c>
      <c r="K9" s="27">
        <v>6</v>
      </c>
      <c r="N9" s="27">
        <v>1</v>
      </c>
      <c r="O9" s="27">
        <v>60</v>
      </c>
      <c r="P9" s="27">
        <v>0</v>
      </c>
      <c r="Q9" s="27">
        <v>19</v>
      </c>
    </row>
    <row r="10" spans="2:17" s="27" customFormat="1" x14ac:dyDescent="0.25">
      <c r="B10" s="27">
        <v>7</v>
      </c>
      <c r="C10" s="27" t="s">
        <v>331</v>
      </c>
      <c r="D10" s="27" t="s">
        <v>328</v>
      </c>
      <c r="E10" s="10"/>
      <c r="F10" s="27" t="s">
        <v>329</v>
      </c>
      <c r="G10" s="27">
        <v>7</v>
      </c>
      <c r="H10" s="27" t="s">
        <v>117</v>
      </c>
      <c r="I10" s="27" t="s">
        <v>118</v>
      </c>
      <c r="J10" s="27" t="s">
        <v>119</v>
      </c>
      <c r="K10" s="27">
        <v>7</v>
      </c>
      <c r="N10" s="27">
        <v>0</v>
      </c>
      <c r="O10" s="27">
        <v>60</v>
      </c>
      <c r="P10" s="27">
        <v>0</v>
      </c>
      <c r="Q10" s="27">
        <v>7</v>
      </c>
    </row>
    <row r="11" spans="2:17" s="10" customFormat="1" x14ac:dyDescent="0.25">
      <c r="B11" s="28">
        <v>8</v>
      </c>
      <c r="C11" s="28" t="s">
        <v>332</v>
      </c>
      <c r="D11" s="28" t="s">
        <v>328</v>
      </c>
      <c r="F11" s="28" t="s">
        <v>333</v>
      </c>
      <c r="G11" s="28">
        <v>8</v>
      </c>
      <c r="H11" s="28" t="s">
        <v>125</v>
      </c>
      <c r="I11" s="28" t="s">
        <v>126</v>
      </c>
      <c r="J11" s="28" t="s">
        <v>127</v>
      </c>
      <c r="K11" s="28">
        <v>8</v>
      </c>
      <c r="L11" s="28"/>
      <c r="M11" s="28"/>
      <c r="N11" s="28">
        <v>1</v>
      </c>
      <c r="O11" s="28">
        <v>20</v>
      </c>
      <c r="P11" s="28">
        <v>0</v>
      </c>
      <c r="Q11" s="28">
        <v>14</v>
      </c>
    </row>
    <row r="12" spans="2:17" s="10" customFormat="1" x14ac:dyDescent="0.25">
      <c r="B12" s="28">
        <v>9</v>
      </c>
      <c r="C12" s="28" t="s">
        <v>334</v>
      </c>
      <c r="D12" s="28" t="s">
        <v>328</v>
      </c>
      <c r="F12" s="28" t="s">
        <v>333</v>
      </c>
      <c r="G12" s="28">
        <v>9</v>
      </c>
      <c r="H12" s="28" t="s">
        <v>128</v>
      </c>
      <c r="I12" s="28" t="s">
        <v>129</v>
      </c>
      <c r="J12" s="28" t="s">
        <v>130</v>
      </c>
      <c r="K12" s="28">
        <v>9</v>
      </c>
      <c r="L12" s="28"/>
      <c r="M12" s="28"/>
      <c r="N12" s="28">
        <v>1</v>
      </c>
      <c r="O12" s="28">
        <v>20</v>
      </c>
      <c r="P12" s="28">
        <v>0</v>
      </c>
      <c r="Q12" s="28">
        <v>20</v>
      </c>
    </row>
    <row r="13" spans="2:17" s="10" customFormat="1" x14ac:dyDescent="0.25">
      <c r="B13" s="28">
        <v>10</v>
      </c>
      <c r="C13" s="28" t="s">
        <v>335</v>
      </c>
      <c r="D13" s="28" t="s">
        <v>336</v>
      </c>
      <c r="F13" s="28" t="s">
        <v>333</v>
      </c>
      <c r="G13" s="28">
        <v>10</v>
      </c>
      <c r="H13" s="28" t="s">
        <v>131</v>
      </c>
      <c r="I13" s="28" t="s">
        <v>132</v>
      </c>
      <c r="J13" s="28" t="s">
        <v>133</v>
      </c>
      <c r="K13" s="28">
        <v>10</v>
      </c>
      <c r="L13" s="28"/>
      <c r="M13" s="28"/>
      <c r="N13" s="28">
        <v>1</v>
      </c>
      <c r="O13" s="28">
        <v>20</v>
      </c>
      <c r="P13" s="28">
        <v>0</v>
      </c>
      <c r="Q13" s="28">
        <v>12</v>
      </c>
    </row>
    <row r="14" spans="2:17" s="10" customFormat="1" x14ac:dyDescent="0.25">
      <c r="B14" s="28">
        <v>11</v>
      </c>
      <c r="C14" s="28" t="s">
        <v>337</v>
      </c>
      <c r="D14" s="28" t="s">
        <v>336</v>
      </c>
      <c r="F14" s="28" t="s">
        <v>329</v>
      </c>
      <c r="G14" s="28">
        <v>11</v>
      </c>
      <c r="H14" s="28" t="s">
        <v>15</v>
      </c>
      <c r="I14" s="28" t="s">
        <v>120</v>
      </c>
      <c r="J14" s="28" t="s">
        <v>121</v>
      </c>
      <c r="K14" s="28">
        <v>11</v>
      </c>
      <c r="L14" s="28"/>
      <c r="M14" s="28"/>
      <c r="N14" s="28">
        <v>1</v>
      </c>
      <c r="O14" s="28">
        <v>60</v>
      </c>
      <c r="P14" s="28">
        <v>0</v>
      </c>
      <c r="Q14" s="28">
        <v>35</v>
      </c>
    </row>
    <row r="15" spans="2:17" s="10" customFormat="1" x14ac:dyDescent="0.25">
      <c r="B15" s="28">
        <v>12</v>
      </c>
      <c r="C15" s="28" t="s">
        <v>338</v>
      </c>
      <c r="D15" s="28" t="s">
        <v>336</v>
      </c>
      <c r="F15" s="28" t="s">
        <v>329</v>
      </c>
      <c r="G15" s="28">
        <v>12</v>
      </c>
      <c r="H15" s="28" t="s">
        <v>122</v>
      </c>
      <c r="I15" s="28" t="s">
        <v>123</v>
      </c>
      <c r="J15" s="28" t="s">
        <v>124</v>
      </c>
      <c r="K15" s="28">
        <v>12</v>
      </c>
      <c r="L15" s="28"/>
      <c r="M15" s="28"/>
      <c r="N15" s="28">
        <v>1</v>
      </c>
      <c r="O15" s="28">
        <v>60</v>
      </c>
      <c r="P15" s="28">
        <v>0</v>
      </c>
      <c r="Q15" s="28">
        <v>34</v>
      </c>
    </row>
    <row r="16" spans="2:17" s="10" customFormat="1" x14ac:dyDescent="0.25">
      <c r="B16" s="28">
        <v>13</v>
      </c>
      <c r="C16" s="28" t="s">
        <v>339</v>
      </c>
      <c r="D16" s="28" t="s">
        <v>340</v>
      </c>
      <c r="F16" s="28" t="s">
        <v>341</v>
      </c>
      <c r="G16" s="28">
        <v>13</v>
      </c>
      <c r="H16" s="28" t="s">
        <v>134</v>
      </c>
      <c r="I16" s="28" t="s">
        <v>134</v>
      </c>
      <c r="J16" s="28" t="s">
        <v>135</v>
      </c>
      <c r="K16" s="28">
        <v>13</v>
      </c>
      <c r="L16" s="28"/>
      <c r="M16" s="28"/>
      <c r="N16" s="28">
        <v>1</v>
      </c>
      <c r="O16" s="28">
        <v>10</v>
      </c>
      <c r="P16" s="28">
        <v>0</v>
      </c>
      <c r="Q16" s="28">
        <v>31</v>
      </c>
    </row>
    <row r="17" spans="2:17" s="10" customFormat="1" x14ac:dyDescent="0.25">
      <c r="B17" s="28">
        <v>14</v>
      </c>
      <c r="C17" s="28" t="s">
        <v>342</v>
      </c>
      <c r="D17" s="28" t="s">
        <v>328</v>
      </c>
      <c r="F17" s="28" t="s">
        <v>329</v>
      </c>
      <c r="G17" s="28">
        <v>14</v>
      </c>
      <c r="H17" s="28" t="s">
        <v>136</v>
      </c>
      <c r="I17" s="28" t="s">
        <v>137</v>
      </c>
      <c r="J17" s="28" t="s">
        <v>138</v>
      </c>
      <c r="K17" s="28">
        <v>14</v>
      </c>
      <c r="L17" s="28"/>
      <c r="M17" s="28"/>
      <c r="N17" s="28">
        <v>1</v>
      </c>
      <c r="O17" s="28">
        <v>60</v>
      </c>
      <c r="P17" s="28">
        <v>0</v>
      </c>
      <c r="Q17" s="28">
        <v>6</v>
      </c>
    </row>
    <row r="18" spans="2:17" s="10" customFormat="1" x14ac:dyDescent="0.25">
      <c r="B18" s="28">
        <v>15</v>
      </c>
      <c r="C18" s="28" t="s">
        <v>343</v>
      </c>
      <c r="D18" s="28" t="s">
        <v>328</v>
      </c>
      <c r="F18" s="28" t="s">
        <v>329</v>
      </c>
      <c r="G18" s="28">
        <v>15</v>
      </c>
      <c r="H18" s="28" t="s">
        <v>139</v>
      </c>
      <c r="I18" s="28" t="s">
        <v>140</v>
      </c>
      <c r="J18" s="28" t="s">
        <v>141</v>
      </c>
      <c r="K18" s="28">
        <v>15</v>
      </c>
      <c r="L18" s="28"/>
      <c r="M18" s="28"/>
      <c r="N18" s="28">
        <v>1</v>
      </c>
      <c r="O18" s="28">
        <v>60</v>
      </c>
      <c r="P18" s="28">
        <v>0</v>
      </c>
      <c r="Q18" s="28">
        <v>29</v>
      </c>
    </row>
    <row r="19" spans="2:17" s="10" customFormat="1" x14ac:dyDescent="0.25">
      <c r="B19" s="28">
        <v>16</v>
      </c>
      <c r="C19" s="28" t="s">
        <v>344</v>
      </c>
      <c r="D19" s="28" t="s">
        <v>336</v>
      </c>
      <c r="F19" s="28" t="s">
        <v>333</v>
      </c>
      <c r="G19" s="28">
        <v>16</v>
      </c>
      <c r="H19" s="28" t="s">
        <v>142</v>
      </c>
      <c r="I19" s="28" t="s">
        <v>143</v>
      </c>
      <c r="J19" s="28" t="s">
        <v>144</v>
      </c>
      <c r="K19" s="28">
        <v>16</v>
      </c>
      <c r="L19" s="28"/>
      <c r="M19" s="28"/>
      <c r="N19" s="28">
        <v>1</v>
      </c>
      <c r="O19" s="28">
        <v>20</v>
      </c>
      <c r="P19" s="28">
        <v>0</v>
      </c>
      <c r="Q19" s="28">
        <v>25</v>
      </c>
    </row>
    <row r="20" spans="2:17" s="29" customFormat="1" x14ac:dyDescent="0.25">
      <c r="B20" s="29">
        <v>17</v>
      </c>
      <c r="C20" s="29" t="s">
        <v>345</v>
      </c>
      <c r="D20" s="29" t="s">
        <v>346</v>
      </c>
    </row>
    <row r="21" spans="2:17" s="10" customFormat="1" x14ac:dyDescent="0.25">
      <c r="B21" s="28">
        <v>18</v>
      </c>
      <c r="C21" s="28" t="s">
        <v>347</v>
      </c>
      <c r="D21" s="28" t="s">
        <v>348</v>
      </c>
      <c r="F21" s="28" t="s">
        <v>349</v>
      </c>
      <c r="G21" s="28">
        <v>17</v>
      </c>
      <c r="H21" s="28" t="s">
        <v>146</v>
      </c>
      <c r="I21" s="28" t="s">
        <v>147</v>
      </c>
      <c r="J21" s="28" t="s">
        <v>148</v>
      </c>
      <c r="K21" s="28">
        <v>17</v>
      </c>
      <c r="L21" s="28"/>
      <c r="M21" s="28"/>
      <c r="N21" s="28">
        <v>1</v>
      </c>
      <c r="O21" s="28">
        <v>40</v>
      </c>
      <c r="P21" s="28">
        <v>0</v>
      </c>
      <c r="Q21" s="28">
        <v>2</v>
      </c>
    </row>
    <row r="22" spans="2:17" s="10" customFormat="1" x14ac:dyDescent="0.25">
      <c r="B22" s="28">
        <v>19</v>
      </c>
      <c r="C22" s="28" t="s">
        <v>350</v>
      </c>
      <c r="D22" s="28" t="s">
        <v>351</v>
      </c>
      <c r="F22" s="28" t="s">
        <v>352</v>
      </c>
      <c r="G22" s="28">
        <v>18</v>
      </c>
      <c r="H22" s="28" t="s">
        <v>149</v>
      </c>
      <c r="I22" s="28" t="s">
        <v>150</v>
      </c>
      <c r="J22" s="28" t="s">
        <v>151</v>
      </c>
      <c r="K22" s="28">
        <v>18</v>
      </c>
      <c r="L22" s="28"/>
      <c r="M22" s="28"/>
      <c r="N22" s="28">
        <v>1</v>
      </c>
      <c r="O22" s="28">
        <v>80</v>
      </c>
      <c r="P22" s="28">
        <v>0</v>
      </c>
      <c r="Q22" s="28">
        <v>4</v>
      </c>
    </row>
    <row r="23" spans="2:17" s="10" customFormat="1" x14ac:dyDescent="0.25">
      <c r="B23" s="28">
        <v>20</v>
      </c>
      <c r="C23" s="28" t="s">
        <v>353</v>
      </c>
      <c r="D23" s="28" t="s">
        <v>348</v>
      </c>
      <c r="F23" s="28" t="s">
        <v>349</v>
      </c>
      <c r="G23" s="28">
        <v>19</v>
      </c>
      <c r="H23" s="28" t="s">
        <v>152</v>
      </c>
      <c r="I23" s="28" t="s">
        <v>153</v>
      </c>
      <c r="J23" s="28" t="s">
        <v>154</v>
      </c>
      <c r="K23" s="28">
        <v>19</v>
      </c>
      <c r="L23" s="28"/>
      <c r="M23" s="28"/>
      <c r="N23" s="28">
        <v>1</v>
      </c>
      <c r="O23" s="28">
        <v>40</v>
      </c>
      <c r="P23" s="28">
        <v>0</v>
      </c>
      <c r="Q23" s="28">
        <v>4</v>
      </c>
    </row>
    <row r="24" spans="2:17" s="10" customFormat="1" x14ac:dyDescent="0.25">
      <c r="B24" s="28">
        <v>21</v>
      </c>
      <c r="C24" s="28" t="s">
        <v>354</v>
      </c>
      <c r="D24" s="28" t="s">
        <v>322</v>
      </c>
      <c r="F24" s="28" t="s">
        <v>323</v>
      </c>
      <c r="G24" s="28">
        <v>20</v>
      </c>
      <c r="H24" s="28" t="s">
        <v>155</v>
      </c>
      <c r="I24" s="28" t="s">
        <v>156</v>
      </c>
      <c r="J24" s="28" t="s">
        <v>157</v>
      </c>
      <c r="K24" s="28">
        <v>20</v>
      </c>
      <c r="L24" s="28"/>
      <c r="M24" s="28" t="s">
        <v>158</v>
      </c>
      <c r="N24" s="28">
        <v>1</v>
      </c>
      <c r="O24" s="28">
        <v>70</v>
      </c>
      <c r="P24" s="28">
        <v>1</v>
      </c>
      <c r="Q24" s="28">
        <v>32</v>
      </c>
    </row>
    <row r="25" spans="2:17" s="10" customFormat="1" x14ac:dyDescent="0.25">
      <c r="B25" s="28">
        <v>22</v>
      </c>
      <c r="C25" s="28" t="s">
        <v>355</v>
      </c>
      <c r="D25" s="28" t="s">
        <v>348</v>
      </c>
      <c r="F25" s="28" t="s">
        <v>349</v>
      </c>
      <c r="G25" s="28">
        <v>21</v>
      </c>
      <c r="H25" s="28" t="s">
        <v>159</v>
      </c>
      <c r="I25" s="28" t="s">
        <v>160</v>
      </c>
      <c r="J25" s="28" t="s">
        <v>161</v>
      </c>
      <c r="K25" s="28">
        <v>21</v>
      </c>
      <c r="L25" s="28"/>
      <c r="M25" s="28" t="s">
        <v>162</v>
      </c>
      <c r="N25" s="28">
        <v>1</v>
      </c>
      <c r="O25" s="28">
        <v>40</v>
      </c>
      <c r="P25" s="28">
        <v>1</v>
      </c>
      <c r="Q25" s="28">
        <v>14</v>
      </c>
    </row>
    <row r="26" spans="2:17" s="10" customFormat="1" x14ac:dyDescent="0.25">
      <c r="B26" s="28">
        <v>23</v>
      </c>
      <c r="C26" s="28" t="s">
        <v>356</v>
      </c>
      <c r="D26" s="28" t="s">
        <v>328</v>
      </c>
      <c r="F26" s="28" t="s">
        <v>329</v>
      </c>
      <c r="G26" s="28">
        <v>22</v>
      </c>
      <c r="H26" s="28" t="s">
        <v>163</v>
      </c>
      <c r="I26" s="28" t="s">
        <v>164</v>
      </c>
      <c r="J26" s="28" t="s">
        <v>165</v>
      </c>
      <c r="K26" s="28">
        <v>22</v>
      </c>
      <c r="L26" s="28"/>
      <c r="M26" s="28"/>
      <c r="N26" s="28">
        <v>1</v>
      </c>
      <c r="O26" s="28">
        <v>60</v>
      </c>
      <c r="P26" s="28">
        <v>0</v>
      </c>
      <c r="Q26" s="28">
        <v>7</v>
      </c>
    </row>
    <row r="27" spans="2:17" s="10" customFormat="1" x14ac:dyDescent="0.25">
      <c r="B27" s="28">
        <v>24</v>
      </c>
      <c r="C27" s="28" t="s">
        <v>357</v>
      </c>
      <c r="D27" s="28" t="s">
        <v>340</v>
      </c>
      <c r="F27" s="28" t="s">
        <v>341</v>
      </c>
      <c r="G27" s="28">
        <v>23</v>
      </c>
      <c r="H27" s="28" t="s">
        <v>166</v>
      </c>
      <c r="I27" s="28" t="s">
        <v>167</v>
      </c>
      <c r="J27" s="28" t="s">
        <v>168</v>
      </c>
      <c r="K27" s="28">
        <v>23</v>
      </c>
      <c r="L27" s="28"/>
      <c r="M27" s="28"/>
      <c r="N27" s="28">
        <v>1</v>
      </c>
      <c r="O27" s="28">
        <v>10</v>
      </c>
      <c r="P27" s="28">
        <v>0</v>
      </c>
      <c r="Q27" s="28">
        <v>21</v>
      </c>
    </row>
    <row r="28" spans="2:17" s="10" customFormat="1" x14ac:dyDescent="0.25">
      <c r="B28" s="28">
        <v>25</v>
      </c>
      <c r="C28" s="28" t="s">
        <v>358</v>
      </c>
      <c r="D28" s="28" t="s">
        <v>336</v>
      </c>
      <c r="F28" s="10" t="s">
        <v>329</v>
      </c>
      <c r="G28" s="10">
        <v>24</v>
      </c>
      <c r="H28" s="28" t="s">
        <v>169</v>
      </c>
      <c r="I28" s="28" t="s">
        <v>170</v>
      </c>
      <c r="J28" s="28" t="s">
        <v>171</v>
      </c>
      <c r="K28" s="28">
        <v>24</v>
      </c>
      <c r="L28" s="28"/>
      <c r="M28" s="28"/>
      <c r="N28" s="28">
        <v>1</v>
      </c>
      <c r="O28" s="28">
        <v>60</v>
      </c>
      <c r="P28" s="28">
        <v>0</v>
      </c>
      <c r="Q28" s="28">
        <v>6</v>
      </c>
    </row>
    <row r="29" spans="2:17" s="10" customFormat="1" x14ac:dyDescent="0.25">
      <c r="B29" s="28">
        <v>26</v>
      </c>
      <c r="C29" s="28" t="s">
        <v>359</v>
      </c>
      <c r="D29" s="28" t="s">
        <v>340</v>
      </c>
      <c r="F29" s="28" t="s">
        <v>341</v>
      </c>
      <c r="G29" s="28">
        <v>25</v>
      </c>
      <c r="H29" s="28" t="s">
        <v>172</v>
      </c>
      <c r="I29" s="28" t="s">
        <v>173</v>
      </c>
      <c r="J29" s="28" t="s">
        <v>174</v>
      </c>
      <c r="K29" s="28">
        <v>25</v>
      </c>
      <c r="L29" s="28"/>
      <c r="M29" s="28"/>
      <c r="N29" s="28">
        <v>1</v>
      </c>
      <c r="O29" s="28">
        <v>10</v>
      </c>
      <c r="P29" s="28">
        <v>0</v>
      </c>
      <c r="Q29" s="28">
        <v>24</v>
      </c>
    </row>
    <row r="30" spans="2:17" s="10" customFormat="1" x14ac:dyDescent="0.25">
      <c r="B30" s="28">
        <v>27</v>
      </c>
      <c r="C30" s="28" t="s">
        <v>360</v>
      </c>
      <c r="D30" s="28" t="s">
        <v>336</v>
      </c>
      <c r="F30" s="28" t="s">
        <v>333</v>
      </c>
      <c r="G30" s="28">
        <v>26</v>
      </c>
      <c r="H30" s="28" t="s">
        <v>175</v>
      </c>
      <c r="I30" s="28" t="s">
        <v>176</v>
      </c>
      <c r="J30" s="28" t="s">
        <v>177</v>
      </c>
      <c r="K30" s="28">
        <v>26</v>
      </c>
      <c r="L30" s="28"/>
      <c r="M30" s="28"/>
      <c r="N30" s="28">
        <v>1</v>
      </c>
      <c r="O30" s="28">
        <v>20</v>
      </c>
      <c r="P30" s="28">
        <v>0</v>
      </c>
      <c r="Q30" s="28">
        <v>10</v>
      </c>
    </row>
    <row r="31" spans="2:17" s="10" customFormat="1" x14ac:dyDescent="0.25">
      <c r="B31" s="28">
        <v>28</v>
      </c>
      <c r="C31" s="28" t="s">
        <v>361</v>
      </c>
      <c r="D31" s="28" t="s">
        <v>362</v>
      </c>
      <c r="F31" s="28" t="s">
        <v>363</v>
      </c>
      <c r="G31" s="28">
        <v>27</v>
      </c>
      <c r="H31" s="28" t="s">
        <v>178</v>
      </c>
      <c r="I31" s="28" t="s">
        <v>179</v>
      </c>
      <c r="J31" s="28" t="s">
        <v>180</v>
      </c>
      <c r="K31" s="28">
        <v>27</v>
      </c>
      <c r="L31" s="28"/>
      <c r="M31" s="28"/>
      <c r="N31" s="28">
        <v>1</v>
      </c>
      <c r="O31" s="28">
        <v>30</v>
      </c>
      <c r="P31" s="28">
        <v>0</v>
      </c>
      <c r="Q31" s="28">
        <v>36</v>
      </c>
    </row>
    <row r="32" spans="2:17" s="10" customFormat="1" x14ac:dyDescent="0.25">
      <c r="B32" s="28">
        <v>29</v>
      </c>
      <c r="C32" s="28" t="s">
        <v>364</v>
      </c>
      <c r="D32" s="28" t="s">
        <v>362</v>
      </c>
      <c r="F32" s="28" t="s">
        <v>363</v>
      </c>
      <c r="G32" s="28">
        <v>28</v>
      </c>
      <c r="H32" s="28" t="s">
        <v>181</v>
      </c>
      <c r="I32" s="28" t="s">
        <v>182</v>
      </c>
      <c r="J32" s="28" t="s">
        <v>183</v>
      </c>
      <c r="K32" s="28">
        <v>28</v>
      </c>
      <c r="L32" s="28"/>
      <c r="M32" s="28"/>
      <c r="N32" s="28">
        <v>1</v>
      </c>
      <c r="O32" s="28">
        <v>30</v>
      </c>
      <c r="P32" s="28">
        <v>0</v>
      </c>
      <c r="Q32" s="28">
        <v>38</v>
      </c>
    </row>
    <row r="33" spans="2:17" s="10" customFormat="1" x14ac:dyDescent="0.25">
      <c r="B33" s="28">
        <v>30</v>
      </c>
      <c r="C33" s="28" t="s">
        <v>365</v>
      </c>
      <c r="D33" s="28" t="s">
        <v>362</v>
      </c>
      <c r="F33" s="28" t="s">
        <v>363</v>
      </c>
      <c r="G33" s="28">
        <v>29</v>
      </c>
      <c r="H33" s="28" t="s">
        <v>184</v>
      </c>
      <c r="I33" s="28" t="s">
        <v>185</v>
      </c>
      <c r="J33" s="28" t="s">
        <v>186</v>
      </c>
      <c r="K33" s="28">
        <v>29</v>
      </c>
      <c r="L33" s="28"/>
      <c r="M33" s="28"/>
      <c r="N33" s="28">
        <v>1</v>
      </c>
      <c r="O33" s="28">
        <v>30</v>
      </c>
      <c r="P33" s="28">
        <v>0</v>
      </c>
      <c r="Q33" s="28">
        <v>25</v>
      </c>
    </row>
    <row r="34" spans="2:17" s="10" customFormat="1" x14ac:dyDescent="0.25">
      <c r="B34" s="28">
        <v>31</v>
      </c>
      <c r="C34" s="28" t="s">
        <v>366</v>
      </c>
      <c r="D34" s="28" t="s">
        <v>328</v>
      </c>
      <c r="F34" s="28" t="s">
        <v>329</v>
      </c>
      <c r="G34" s="28">
        <v>30</v>
      </c>
      <c r="H34" s="28" t="s">
        <v>187</v>
      </c>
      <c r="I34" s="28" t="s">
        <v>188</v>
      </c>
      <c r="J34" s="28" t="s">
        <v>189</v>
      </c>
      <c r="K34" s="28">
        <v>30</v>
      </c>
      <c r="L34" s="28"/>
      <c r="M34" s="28"/>
      <c r="N34" s="28">
        <v>1</v>
      </c>
      <c r="O34" s="28">
        <v>60</v>
      </c>
      <c r="P34" s="28">
        <v>0</v>
      </c>
      <c r="Q34" s="28">
        <v>15</v>
      </c>
    </row>
    <row r="35" spans="2:17" s="10" customFormat="1" x14ac:dyDescent="0.25">
      <c r="B35" s="28">
        <v>32</v>
      </c>
      <c r="C35" s="28" t="s">
        <v>367</v>
      </c>
      <c r="D35" s="28" t="s">
        <v>368</v>
      </c>
      <c r="F35" s="28" t="s">
        <v>369</v>
      </c>
      <c r="G35" s="28">
        <v>31</v>
      </c>
      <c r="H35" s="28" t="s">
        <v>190</v>
      </c>
      <c r="I35" s="28" t="s">
        <v>191</v>
      </c>
      <c r="J35" s="28" t="s">
        <v>192</v>
      </c>
      <c r="K35" s="28">
        <v>31</v>
      </c>
      <c r="L35" s="28"/>
      <c r="M35" s="28"/>
      <c r="N35" s="28">
        <v>1</v>
      </c>
      <c r="O35" s="28">
        <v>90</v>
      </c>
      <c r="P35" s="28">
        <v>0</v>
      </c>
      <c r="Q35" s="28">
        <v>39</v>
      </c>
    </row>
    <row r="36" spans="2:17" s="29" customFormat="1" x14ac:dyDescent="0.25">
      <c r="B36" s="29">
        <v>33</v>
      </c>
      <c r="C36" s="29" t="s">
        <v>193</v>
      </c>
      <c r="D36" s="29" t="s">
        <v>348</v>
      </c>
    </row>
    <row r="37" spans="2:17" x14ac:dyDescent="0.25">
      <c r="B37" s="28">
        <v>34</v>
      </c>
      <c r="C37" s="28" t="s">
        <v>370</v>
      </c>
      <c r="D37" s="28" t="s">
        <v>328</v>
      </c>
      <c r="F37" s="28" t="s">
        <v>329</v>
      </c>
      <c r="G37" s="28">
        <v>32</v>
      </c>
      <c r="H37" s="28" t="s">
        <v>194</v>
      </c>
      <c r="I37" s="28" t="s">
        <v>195</v>
      </c>
      <c r="J37" s="28" t="s">
        <v>196</v>
      </c>
      <c r="K37" s="28">
        <v>32</v>
      </c>
      <c r="L37" s="28"/>
      <c r="M37" s="28"/>
      <c r="N37" s="28">
        <v>1</v>
      </c>
      <c r="O37" s="28">
        <v>60</v>
      </c>
      <c r="P37" s="28">
        <v>0</v>
      </c>
      <c r="Q37" s="28">
        <v>7</v>
      </c>
    </row>
    <row r="38" spans="2:17" x14ac:dyDescent="0.25">
      <c r="B38" s="28">
        <v>35</v>
      </c>
      <c r="C38" s="28" t="s">
        <v>371</v>
      </c>
      <c r="D38" s="28" t="s">
        <v>340</v>
      </c>
      <c r="F38" s="28" t="s">
        <v>341</v>
      </c>
      <c r="G38" s="28">
        <v>33</v>
      </c>
      <c r="H38" s="28" t="s">
        <v>197</v>
      </c>
      <c r="I38" s="28" t="s">
        <v>198</v>
      </c>
      <c r="J38" s="28" t="s">
        <v>199</v>
      </c>
      <c r="K38" s="28">
        <v>33</v>
      </c>
      <c r="L38" s="28"/>
      <c r="M38" s="28"/>
      <c r="N38" s="28">
        <v>1</v>
      </c>
      <c r="O38" s="28">
        <v>10</v>
      </c>
      <c r="P38" s="28">
        <v>0</v>
      </c>
      <c r="Q38" s="28">
        <v>27</v>
      </c>
    </row>
    <row r="39" spans="2:17" x14ac:dyDescent="0.25">
      <c r="B39" s="28">
        <v>36</v>
      </c>
      <c r="C39" s="28" t="s">
        <v>372</v>
      </c>
      <c r="D39" s="28" t="s">
        <v>340</v>
      </c>
      <c r="F39" s="28" t="s">
        <v>341</v>
      </c>
      <c r="G39" s="28">
        <v>34</v>
      </c>
      <c r="H39" s="28" t="s">
        <v>200</v>
      </c>
      <c r="I39" s="28" t="s">
        <v>201</v>
      </c>
      <c r="J39" s="28" t="s">
        <v>202</v>
      </c>
      <c r="K39" s="28">
        <v>34</v>
      </c>
      <c r="L39" s="28"/>
      <c r="M39" s="28"/>
      <c r="N39" s="28">
        <v>1</v>
      </c>
      <c r="O39" s="28">
        <v>10</v>
      </c>
      <c r="P39" s="28">
        <v>0</v>
      </c>
      <c r="Q39" s="28">
        <v>17</v>
      </c>
    </row>
    <row r="40" spans="2:17" x14ac:dyDescent="0.25">
      <c r="B40" s="28">
        <v>37</v>
      </c>
      <c r="C40" s="28" t="s">
        <v>373</v>
      </c>
      <c r="D40" s="28" t="s">
        <v>348</v>
      </c>
      <c r="F40" t="s">
        <v>374</v>
      </c>
      <c r="G40" s="28">
        <v>35</v>
      </c>
      <c r="H40" s="28" t="s">
        <v>206</v>
      </c>
      <c r="I40" s="28" t="s">
        <v>207</v>
      </c>
      <c r="J40" s="28" t="s">
        <v>208</v>
      </c>
      <c r="K40" s="28">
        <v>35</v>
      </c>
      <c r="L40" s="28"/>
      <c r="M40" s="28"/>
      <c r="N40" s="28">
        <v>1</v>
      </c>
      <c r="O40" s="28">
        <v>50</v>
      </c>
      <c r="P40" s="28">
        <v>0</v>
      </c>
      <c r="Q40" s="28">
        <v>28</v>
      </c>
    </row>
    <row r="41" spans="2:17" x14ac:dyDescent="0.25">
      <c r="B41" s="28">
        <v>38</v>
      </c>
      <c r="C41" s="28" t="s">
        <v>375</v>
      </c>
      <c r="D41" s="28" t="s">
        <v>348</v>
      </c>
      <c r="F41" s="28" t="s">
        <v>349</v>
      </c>
      <c r="G41" s="28">
        <v>36</v>
      </c>
      <c r="H41" s="28" t="s">
        <v>203</v>
      </c>
      <c r="I41" s="28" t="s">
        <v>204</v>
      </c>
      <c r="J41" s="28" t="s">
        <v>205</v>
      </c>
      <c r="K41" s="28">
        <v>36</v>
      </c>
      <c r="L41" s="28"/>
      <c r="M41" s="28"/>
      <c r="N41" s="28">
        <v>1</v>
      </c>
      <c r="O41" s="28">
        <v>40</v>
      </c>
      <c r="P41" s="28">
        <v>0</v>
      </c>
      <c r="Q41" s="28">
        <v>38</v>
      </c>
    </row>
    <row r="42" spans="2:17" x14ac:dyDescent="0.25">
      <c r="B42" s="28">
        <v>39</v>
      </c>
      <c r="C42" s="28" t="s">
        <v>376</v>
      </c>
      <c r="D42" s="28" t="s">
        <v>340</v>
      </c>
      <c r="F42" s="28" t="s">
        <v>341</v>
      </c>
      <c r="G42" s="28">
        <v>37</v>
      </c>
      <c r="H42" s="28" t="s">
        <v>209</v>
      </c>
      <c r="I42" s="28" t="s">
        <v>210</v>
      </c>
      <c r="J42" s="28" t="s">
        <v>211</v>
      </c>
      <c r="K42" s="28">
        <v>37</v>
      </c>
      <c r="L42" s="28"/>
      <c r="M42" s="28"/>
      <c r="N42" s="28">
        <v>1</v>
      </c>
      <c r="O42" s="28">
        <v>10</v>
      </c>
      <c r="P42" s="28">
        <v>0</v>
      </c>
      <c r="Q42" s="28">
        <v>14</v>
      </c>
    </row>
    <row r="43" spans="2:17" s="29" customFormat="1" x14ac:dyDescent="0.25">
      <c r="B43" s="29">
        <v>40</v>
      </c>
      <c r="C43" s="29" t="s">
        <v>377</v>
      </c>
      <c r="D43" s="29" t="s">
        <v>368</v>
      </c>
    </row>
    <row r="44" spans="2:17" x14ac:dyDescent="0.25">
      <c r="B44" s="28">
        <v>41</v>
      </c>
      <c r="C44" s="28" t="s">
        <v>378</v>
      </c>
      <c r="D44" s="28" t="s">
        <v>348</v>
      </c>
      <c r="F44" s="28" t="s">
        <v>374</v>
      </c>
      <c r="G44" s="28">
        <v>38</v>
      </c>
      <c r="H44" s="28" t="s">
        <v>213</v>
      </c>
      <c r="I44" s="28" t="s">
        <v>214</v>
      </c>
      <c r="J44" s="28" t="s">
        <v>215</v>
      </c>
      <c r="K44" s="28">
        <v>38</v>
      </c>
      <c r="L44" s="28"/>
      <c r="M44" s="28"/>
      <c r="N44" s="28">
        <v>1</v>
      </c>
      <c r="O44" s="28">
        <v>50</v>
      </c>
      <c r="P44" s="28">
        <v>0</v>
      </c>
      <c r="Q44" s="28">
        <v>22</v>
      </c>
    </row>
    <row r="45" spans="2:17" x14ac:dyDescent="0.25">
      <c r="B45" s="28">
        <v>42</v>
      </c>
      <c r="C45" s="28" t="s">
        <v>379</v>
      </c>
      <c r="D45" s="28" t="s">
        <v>348</v>
      </c>
      <c r="F45" s="28" t="s">
        <v>374</v>
      </c>
      <c r="G45" s="28">
        <v>39</v>
      </c>
      <c r="H45" s="28" t="s">
        <v>216</v>
      </c>
      <c r="I45" s="28" t="s">
        <v>217</v>
      </c>
      <c r="J45" s="28" t="s">
        <v>218</v>
      </c>
      <c r="K45" s="28">
        <v>39</v>
      </c>
      <c r="L45" s="28"/>
      <c r="M45" s="28"/>
      <c r="N45" s="28">
        <v>1</v>
      </c>
      <c r="O45" s="28">
        <v>50</v>
      </c>
      <c r="P45" s="28">
        <v>0</v>
      </c>
      <c r="Q45" s="28">
        <v>10</v>
      </c>
    </row>
    <row r="46" spans="2:17" x14ac:dyDescent="0.25">
      <c r="B46" s="28">
        <v>43</v>
      </c>
      <c r="C46" s="28" t="s">
        <v>380</v>
      </c>
      <c r="D46" s="28" t="s">
        <v>348</v>
      </c>
      <c r="F46" s="28" t="s">
        <v>374</v>
      </c>
      <c r="G46" s="28">
        <v>40</v>
      </c>
      <c r="H46" s="28" t="s">
        <v>219</v>
      </c>
      <c r="I46" s="28" t="s">
        <v>220</v>
      </c>
      <c r="J46" s="28" t="s">
        <v>221</v>
      </c>
      <c r="K46" s="28">
        <v>40</v>
      </c>
      <c r="L46" s="28"/>
      <c r="M46" s="28"/>
      <c r="N46" s="28">
        <v>1</v>
      </c>
      <c r="O46" s="28">
        <v>50</v>
      </c>
      <c r="P46" s="28">
        <v>0</v>
      </c>
      <c r="Q46" s="28">
        <v>30</v>
      </c>
    </row>
    <row r="47" spans="2:17" x14ac:dyDescent="0.25">
      <c r="B47" s="28">
        <v>44</v>
      </c>
      <c r="C47" s="28" t="s">
        <v>381</v>
      </c>
      <c r="D47" s="28" t="s">
        <v>348</v>
      </c>
      <c r="F47" s="28" t="s">
        <v>374</v>
      </c>
      <c r="G47" s="28">
        <v>41</v>
      </c>
      <c r="H47" s="28" t="s">
        <v>222</v>
      </c>
      <c r="I47" s="28" t="s">
        <v>223</v>
      </c>
      <c r="J47" s="28" t="s">
        <v>224</v>
      </c>
      <c r="K47" s="28">
        <v>41</v>
      </c>
      <c r="L47" s="28"/>
      <c r="M47" s="28"/>
      <c r="N47" s="28">
        <v>1</v>
      </c>
      <c r="O47" s="28">
        <v>50</v>
      </c>
      <c r="P47" s="28">
        <v>0</v>
      </c>
      <c r="Q47" s="28">
        <v>17</v>
      </c>
    </row>
    <row r="48" spans="2:17" x14ac:dyDescent="0.25">
      <c r="B48" s="28">
        <v>45</v>
      </c>
      <c r="C48" s="28" t="s">
        <v>382</v>
      </c>
      <c r="D48" s="28" t="s">
        <v>348</v>
      </c>
      <c r="F48" s="28" t="s">
        <v>349</v>
      </c>
      <c r="G48" s="28">
        <v>42</v>
      </c>
      <c r="H48" s="28" t="s">
        <v>225</v>
      </c>
      <c r="I48" s="28" t="s">
        <v>226</v>
      </c>
      <c r="J48" s="28" t="s">
        <v>227</v>
      </c>
      <c r="K48" s="28">
        <v>42</v>
      </c>
      <c r="L48" s="28"/>
      <c r="M48" s="28"/>
      <c r="N48" s="28">
        <v>1</v>
      </c>
      <c r="O48" s="28">
        <v>40</v>
      </c>
      <c r="P48" s="28">
        <v>0</v>
      </c>
      <c r="Q48" s="28">
        <v>11</v>
      </c>
    </row>
    <row r="49" spans="2:17" x14ac:dyDescent="0.25">
      <c r="B49" s="28">
        <v>46</v>
      </c>
      <c r="C49" s="28" t="s">
        <v>383</v>
      </c>
      <c r="D49" s="28" t="s">
        <v>336</v>
      </c>
      <c r="F49" s="28" t="s">
        <v>333</v>
      </c>
      <c r="G49" s="28">
        <v>43</v>
      </c>
      <c r="H49" s="28" t="s">
        <v>228</v>
      </c>
      <c r="I49" s="28" t="s">
        <v>229</v>
      </c>
      <c r="J49" s="28" t="s">
        <v>230</v>
      </c>
      <c r="K49" s="28">
        <v>43</v>
      </c>
      <c r="L49" s="28"/>
      <c r="M49" s="28"/>
      <c r="N49" s="28">
        <v>1</v>
      </c>
      <c r="O49" s="28">
        <v>20</v>
      </c>
      <c r="P49" s="28">
        <v>0</v>
      </c>
      <c r="Q49" s="28">
        <v>13</v>
      </c>
    </row>
    <row r="50" spans="2:17" x14ac:dyDescent="0.25">
      <c r="B50" s="28">
        <v>47</v>
      </c>
      <c r="C50" s="28" t="s">
        <v>384</v>
      </c>
      <c r="D50" s="28" t="s">
        <v>328</v>
      </c>
      <c r="F50" s="28" t="s">
        <v>329</v>
      </c>
      <c r="G50" s="28">
        <v>44</v>
      </c>
      <c r="H50" s="28" t="s">
        <v>231</v>
      </c>
      <c r="I50" s="28" t="s">
        <v>232</v>
      </c>
      <c r="J50" s="28" t="s">
        <v>233</v>
      </c>
      <c r="K50" s="28">
        <v>44</v>
      </c>
      <c r="L50" s="28"/>
      <c r="M50" s="28"/>
      <c r="N50" s="28">
        <v>1</v>
      </c>
      <c r="O50" s="28">
        <v>60</v>
      </c>
      <c r="P50" s="28">
        <v>0</v>
      </c>
      <c r="Q50" s="28">
        <v>20</v>
      </c>
    </row>
    <row r="51" spans="2:17" x14ac:dyDescent="0.25">
      <c r="B51" s="28">
        <v>48</v>
      </c>
      <c r="C51" s="28" t="s">
        <v>385</v>
      </c>
      <c r="D51" s="28" t="s">
        <v>336</v>
      </c>
      <c r="F51" s="28" t="s">
        <v>333</v>
      </c>
      <c r="G51" s="28">
        <v>45</v>
      </c>
      <c r="H51" s="28" t="s">
        <v>234</v>
      </c>
      <c r="I51" s="28" t="s">
        <v>235</v>
      </c>
      <c r="J51" s="28" t="s">
        <v>236</v>
      </c>
      <c r="K51" s="28">
        <v>45</v>
      </c>
      <c r="L51" s="28"/>
      <c r="M51" s="28"/>
      <c r="N51" s="28">
        <v>1</v>
      </c>
      <c r="O51" s="28">
        <v>20</v>
      </c>
      <c r="P51" s="28">
        <v>0</v>
      </c>
      <c r="Q51" s="28">
        <v>7</v>
      </c>
    </row>
    <row r="52" spans="2:17" x14ac:dyDescent="0.25">
      <c r="B52" s="28">
        <v>49</v>
      </c>
      <c r="C52" s="28" t="s">
        <v>386</v>
      </c>
      <c r="D52" s="28" t="s">
        <v>362</v>
      </c>
      <c r="F52" t="s">
        <v>329</v>
      </c>
      <c r="G52">
        <v>46</v>
      </c>
      <c r="H52" s="28" t="s">
        <v>237</v>
      </c>
      <c r="I52" s="28" t="s">
        <v>238</v>
      </c>
      <c r="J52" s="28" t="s">
        <v>239</v>
      </c>
      <c r="K52" s="28">
        <v>46</v>
      </c>
      <c r="L52" s="28"/>
      <c r="M52" s="28"/>
      <c r="N52" s="28">
        <v>1</v>
      </c>
      <c r="O52" s="28">
        <v>60</v>
      </c>
      <c r="P52" s="28">
        <v>0</v>
      </c>
      <c r="Q52" s="28">
        <v>17</v>
      </c>
    </row>
    <row r="53" spans="2:17" x14ac:dyDescent="0.25">
      <c r="B53" s="28">
        <v>50</v>
      </c>
      <c r="C53" s="28" t="s">
        <v>387</v>
      </c>
      <c r="D53" s="28" t="s">
        <v>328</v>
      </c>
      <c r="F53" s="28" t="s">
        <v>323</v>
      </c>
      <c r="G53" s="28">
        <v>47</v>
      </c>
      <c r="H53" s="28" t="s">
        <v>243</v>
      </c>
      <c r="I53" s="28" t="s">
        <v>244</v>
      </c>
      <c r="J53" s="28" t="s">
        <v>245</v>
      </c>
      <c r="K53" s="28">
        <v>47</v>
      </c>
      <c r="L53" s="28"/>
      <c r="M53" s="28"/>
      <c r="N53" s="28">
        <v>1</v>
      </c>
      <c r="O53" s="28">
        <v>70</v>
      </c>
      <c r="P53" s="28">
        <v>0</v>
      </c>
      <c r="Q53" s="28">
        <v>11</v>
      </c>
    </row>
    <row r="54" spans="2:17" x14ac:dyDescent="0.25">
      <c r="B54" s="28">
        <v>51</v>
      </c>
      <c r="C54" s="28" t="s">
        <v>388</v>
      </c>
      <c r="D54" s="28" t="s">
        <v>322</v>
      </c>
      <c r="F54" s="28" t="s">
        <v>323</v>
      </c>
      <c r="G54" s="28">
        <v>48</v>
      </c>
      <c r="H54" s="28" t="s">
        <v>246</v>
      </c>
      <c r="I54" s="28" t="s">
        <v>247</v>
      </c>
      <c r="J54" s="28" t="s">
        <v>248</v>
      </c>
      <c r="K54" s="28">
        <v>48</v>
      </c>
      <c r="L54" s="28"/>
      <c r="M54" s="28"/>
      <c r="N54" s="28">
        <v>1</v>
      </c>
      <c r="O54" s="28">
        <v>70</v>
      </c>
      <c r="P54" s="28">
        <v>0</v>
      </c>
      <c r="Q54" s="28">
        <v>38</v>
      </c>
    </row>
    <row r="55" spans="2:17" x14ac:dyDescent="0.25">
      <c r="B55" s="28">
        <v>52</v>
      </c>
      <c r="C55" s="28" t="s">
        <v>389</v>
      </c>
      <c r="D55" s="28" t="s">
        <v>322</v>
      </c>
      <c r="F55" s="28" t="s">
        <v>349</v>
      </c>
      <c r="G55" s="28">
        <v>49</v>
      </c>
      <c r="H55" s="28" t="s">
        <v>249</v>
      </c>
      <c r="I55" s="28" t="s">
        <v>250</v>
      </c>
      <c r="J55" s="28" t="s">
        <v>251</v>
      </c>
      <c r="K55" s="28">
        <v>49</v>
      </c>
      <c r="L55" s="28"/>
      <c r="M55" s="28"/>
      <c r="N55" s="28">
        <v>1</v>
      </c>
      <c r="O55" s="28">
        <v>40</v>
      </c>
      <c r="P55" s="28">
        <v>0</v>
      </c>
      <c r="Q55" s="28">
        <v>26</v>
      </c>
    </row>
    <row r="56" spans="2:17" x14ac:dyDescent="0.25">
      <c r="B56" s="28">
        <v>53</v>
      </c>
      <c r="C56" s="28" t="s">
        <v>390</v>
      </c>
      <c r="D56" s="28" t="s">
        <v>348</v>
      </c>
      <c r="F56" s="28" t="s">
        <v>329</v>
      </c>
      <c r="G56" s="28">
        <v>50</v>
      </c>
      <c r="H56" s="28" t="s">
        <v>240</v>
      </c>
      <c r="I56" s="28" t="s">
        <v>241</v>
      </c>
      <c r="J56" s="28" t="s">
        <v>242</v>
      </c>
      <c r="K56" s="28">
        <v>50</v>
      </c>
      <c r="L56" s="28"/>
      <c r="M56" s="28"/>
      <c r="N56" s="28">
        <v>1</v>
      </c>
      <c r="O56" s="28">
        <v>60</v>
      </c>
      <c r="P56" s="28">
        <v>0</v>
      </c>
      <c r="Q56" s="28">
        <v>0</v>
      </c>
    </row>
    <row r="57" spans="2:17" x14ac:dyDescent="0.25">
      <c r="B57" s="28">
        <v>54</v>
      </c>
      <c r="C57" s="28" t="s">
        <v>391</v>
      </c>
      <c r="D57" s="28" t="s">
        <v>368</v>
      </c>
      <c r="F57" s="28" t="s">
        <v>369</v>
      </c>
      <c r="G57" s="28">
        <v>51</v>
      </c>
      <c r="H57" s="28" t="s">
        <v>252</v>
      </c>
      <c r="I57" s="28" t="s">
        <v>253</v>
      </c>
      <c r="J57" s="28" t="s">
        <v>254</v>
      </c>
      <c r="K57" s="28">
        <v>51</v>
      </c>
      <c r="L57" s="28"/>
      <c r="M57" s="28"/>
      <c r="N57" s="28">
        <v>1</v>
      </c>
      <c r="O57" s="28">
        <v>90</v>
      </c>
      <c r="P57" s="28">
        <v>0</v>
      </c>
      <c r="Q57" s="28">
        <v>57</v>
      </c>
    </row>
    <row r="58" spans="2:17" x14ac:dyDescent="0.25">
      <c r="B58" s="28">
        <v>55</v>
      </c>
      <c r="C58" s="28" t="s">
        <v>392</v>
      </c>
      <c r="D58" s="28" t="s">
        <v>368</v>
      </c>
      <c r="F58" s="28" t="s">
        <v>369</v>
      </c>
      <c r="G58" s="28">
        <v>52</v>
      </c>
      <c r="H58" s="28" t="s">
        <v>255</v>
      </c>
      <c r="I58" s="28" t="s">
        <v>256</v>
      </c>
      <c r="J58" s="28" t="s">
        <v>257</v>
      </c>
      <c r="K58" s="28">
        <v>52</v>
      </c>
      <c r="L58" s="28"/>
      <c r="M58" s="28"/>
      <c r="N58" s="28">
        <v>1</v>
      </c>
      <c r="O58" s="28">
        <v>90</v>
      </c>
      <c r="P58" s="28">
        <v>0</v>
      </c>
      <c r="Q58" s="28">
        <v>58</v>
      </c>
    </row>
    <row r="59" spans="2:17" x14ac:dyDescent="0.25">
      <c r="B59" s="28">
        <v>56</v>
      </c>
      <c r="C59" s="28" t="s">
        <v>393</v>
      </c>
      <c r="D59" s="28" t="s">
        <v>368</v>
      </c>
      <c r="F59" s="28" t="s">
        <v>369</v>
      </c>
      <c r="G59" s="28">
        <v>53</v>
      </c>
      <c r="H59" s="28" t="s">
        <v>258</v>
      </c>
      <c r="I59" s="28" t="s">
        <v>259</v>
      </c>
      <c r="J59" s="28" t="s">
        <v>260</v>
      </c>
      <c r="K59" s="28">
        <v>53</v>
      </c>
      <c r="L59" s="28"/>
      <c r="M59" s="28"/>
      <c r="N59" s="28">
        <v>1</v>
      </c>
      <c r="O59" s="28">
        <v>90</v>
      </c>
      <c r="P59" s="28">
        <v>0</v>
      </c>
      <c r="Q59" s="28">
        <v>50</v>
      </c>
    </row>
    <row r="60" spans="2:17" x14ac:dyDescent="0.25">
      <c r="B60" s="28">
        <v>57</v>
      </c>
      <c r="C60" s="28" t="s">
        <v>394</v>
      </c>
      <c r="D60" s="28" t="s">
        <v>351</v>
      </c>
      <c r="F60" s="28" t="s">
        <v>352</v>
      </c>
      <c r="G60" s="28">
        <v>54</v>
      </c>
      <c r="H60" s="28" t="s">
        <v>261</v>
      </c>
      <c r="I60" s="28" t="s">
        <v>262</v>
      </c>
      <c r="J60" s="28" t="s">
        <v>263</v>
      </c>
      <c r="K60" s="28">
        <v>54</v>
      </c>
      <c r="L60" s="28"/>
      <c r="M60" s="28"/>
      <c r="N60" s="28">
        <v>1</v>
      </c>
      <c r="O60" s="28">
        <v>80</v>
      </c>
      <c r="P60" s="28">
        <v>0</v>
      </c>
      <c r="Q60" s="28">
        <v>53</v>
      </c>
    </row>
    <row r="61" spans="2:17" x14ac:dyDescent="0.25">
      <c r="B61" s="28">
        <v>58</v>
      </c>
      <c r="C61" s="28" t="s">
        <v>395</v>
      </c>
      <c r="D61" s="28" t="s">
        <v>351</v>
      </c>
      <c r="F61" s="28" t="s">
        <v>352</v>
      </c>
      <c r="G61" s="28">
        <v>55</v>
      </c>
      <c r="H61" s="28" t="s">
        <v>264</v>
      </c>
      <c r="I61" s="28" t="s">
        <v>265</v>
      </c>
      <c r="J61" s="28" t="s">
        <v>266</v>
      </c>
      <c r="K61" s="28">
        <v>55</v>
      </c>
      <c r="L61" s="28"/>
      <c r="M61" s="28"/>
      <c r="N61" s="28">
        <v>1</v>
      </c>
      <c r="O61" s="28">
        <v>80</v>
      </c>
      <c r="P61" s="28">
        <v>0</v>
      </c>
      <c r="Q61" s="28">
        <v>51</v>
      </c>
    </row>
    <row r="62" spans="2:17" x14ac:dyDescent="0.25">
      <c r="B62" s="28">
        <v>59</v>
      </c>
      <c r="C62" s="28" t="s">
        <v>396</v>
      </c>
      <c r="D62" s="28" t="s">
        <v>368</v>
      </c>
      <c r="F62" s="28" t="s">
        <v>329</v>
      </c>
      <c r="G62" s="28">
        <v>56</v>
      </c>
      <c r="H62" s="28" t="s">
        <v>279</v>
      </c>
      <c r="I62" s="28" t="s">
        <v>280</v>
      </c>
      <c r="J62" s="28" t="s">
        <v>281</v>
      </c>
      <c r="K62" s="28">
        <v>56</v>
      </c>
      <c r="L62" s="28"/>
      <c r="M62" s="28"/>
      <c r="N62" s="28">
        <v>1</v>
      </c>
      <c r="O62" s="28">
        <v>60</v>
      </c>
      <c r="P62" s="28">
        <v>0</v>
      </c>
      <c r="Q62" s="28">
        <v>34</v>
      </c>
    </row>
    <row r="63" spans="2:17" x14ac:dyDescent="0.25">
      <c r="B63" s="28">
        <v>60</v>
      </c>
      <c r="C63" s="28" t="s">
        <v>397</v>
      </c>
      <c r="D63" s="28" t="s">
        <v>336</v>
      </c>
      <c r="F63" s="28" t="s">
        <v>369</v>
      </c>
      <c r="G63" s="28">
        <v>57</v>
      </c>
      <c r="H63" s="28" t="s">
        <v>267</v>
      </c>
      <c r="I63" s="28" t="s">
        <v>268</v>
      </c>
      <c r="J63" s="28" t="s">
        <v>269</v>
      </c>
      <c r="K63" s="28">
        <v>57</v>
      </c>
      <c r="L63" s="28"/>
      <c r="M63" s="28"/>
      <c r="N63" s="28">
        <v>1</v>
      </c>
      <c r="O63" s="28">
        <v>90</v>
      </c>
      <c r="P63" s="28">
        <v>0</v>
      </c>
      <c r="Q63" s="28">
        <v>56</v>
      </c>
    </row>
    <row r="64" spans="2:17" s="29" customFormat="1" x14ac:dyDescent="0.25">
      <c r="B64" s="29" t="s">
        <v>398</v>
      </c>
      <c r="C64" s="29" t="s">
        <v>399</v>
      </c>
      <c r="D64" s="29" t="s">
        <v>368</v>
      </c>
    </row>
    <row r="65" spans="2:17" x14ac:dyDescent="0.25">
      <c r="B65" s="28">
        <v>61</v>
      </c>
      <c r="C65" s="28" t="s">
        <v>400</v>
      </c>
      <c r="D65" s="28" t="s">
        <v>351</v>
      </c>
      <c r="F65" s="28" t="s">
        <v>333</v>
      </c>
      <c r="G65" s="28">
        <v>58</v>
      </c>
      <c r="H65" s="28" t="s">
        <v>270</v>
      </c>
      <c r="I65" s="28" t="s">
        <v>271</v>
      </c>
      <c r="J65" s="28" t="s">
        <v>272</v>
      </c>
      <c r="K65" s="28">
        <v>58</v>
      </c>
      <c r="L65" s="28"/>
      <c r="M65" s="28"/>
      <c r="N65" s="28">
        <v>1</v>
      </c>
      <c r="O65" s="28">
        <v>20</v>
      </c>
      <c r="P65" s="28">
        <v>0</v>
      </c>
      <c r="Q65" s="28">
        <v>53</v>
      </c>
    </row>
    <row r="66" spans="2:17" x14ac:dyDescent="0.25">
      <c r="B66" s="28">
        <v>62</v>
      </c>
      <c r="C66" s="28" t="s">
        <v>401</v>
      </c>
      <c r="D66" s="28" t="s">
        <v>351</v>
      </c>
      <c r="F66" s="28" t="s">
        <v>352</v>
      </c>
      <c r="G66" s="28">
        <v>59</v>
      </c>
      <c r="H66" s="28" t="s">
        <v>276</v>
      </c>
      <c r="I66" s="28" t="s">
        <v>277</v>
      </c>
      <c r="J66" s="28" t="s">
        <v>278</v>
      </c>
      <c r="K66" s="28">
        <v>59</v>
      </c>
      <c r="L66" s="28"/>
      <c r="M66" s="28"/>
      <c r="N66" s="28">
        <v>1</v>
      </c>
      <c r="O66" s="28">
        <v>80</v>
      </c>
      <c r="P66" s="28">
        <v>0</v>
      </c>
      <c r="Q66" s="28">
        <v>61</v>
      </c>
    </row>
    <row r="67" spans="2:17" x14ac:dyDescent="0.25">
      <c r="B67" s="28">
        <v>63</v>
      </c>
      <c r="C67" s="28" t="s">
        <v>402</v>
      </c>
      <c r="D67" s="28" t="s">
        <v>328</v>
      </c>
      <c r="F67" s="28" t="s">
        <v>352</v>
      </c>
      <c r="G67" s="28">
        <v>60</v>
      </c>
      <c r="H67" s="28" t="s">
        <v>273</v>
      </c>
      <c r="I67" s="28" t="s">
        <v>274</v>
      </c>
      <c r="J67" s="28" t="s">
        <v>275</v>
      </c>
      <c r="K67" s="28">
        <v>60</v>
      </c>
      <c r="L67" s="28"/>
      <c r="M67" s="28"/>
      <c r="N67" s="28">
        <v>1</v>
      </c>
      <c r="O67" s="28">
        <v>80</v>
      </c>
      <c r="P67" s="28">
        <v>0</v>
      </c>
      <c r="Q67" s="28">
        <v>53</v>
      </c>
    </row>
    <row r="68" spans="2:17" x14ac:dyDescent="0.25">
      <c r="B68" s="28">
        <v>64</v>
      </c>
      <c r="C68" s="28" t="s">
        <v>403</v>
      </c>
      <c r="D68" s="28" t="s">
        <v>362</v>
      </c>
      <c r="F68" s="28" t="s">
        <v>363</v>
      </c>
      <c r="G68" s="28">
        <v>61</v>
      </c>
      <c r="H68" s="28" t="s">
        <v>282</v>
      </c>
      <c r="I68" s="28" t="s">
        <v>283</v>
      </c>
      <c r="J68" s="28" t="s">
        <v>284</v>
      </c>
      <c r="K68" s="28">
        <v>61</v>
      </c>
      <c r="L68" s="28"/>
      <c r="M68" s="28"/>
      <c r="N68" s="28">
        <v>1</v>
      </c>
      <c r="O68" s="28">
        <v>30</v>
      </c>
      <c r="P68" s="28">
        <v>0</v>
      </c>
      <c r="Q68" s="28">
        <v>38</v>
      </c>
    </row>
    <row r="69" spans="2:17" x14ac:dyDescent="0.25">
      <c r="B69" s="28">
        <v>65</v>
      </c>
      <c r="C69" s="28" t="s">
        <v>404</v>
      </c>
      <c r="D69" s="28" t="s">
        <v>328</v>
      </c>
      <c r="F69" s="28" t="s">
        <v>329</v>
      </c>
      <c r="G69" s="28">
        <v>62</v>
      </c>
      <c r="H69" s="28" t="s">
        <v>285</v>
      </c>
      <c r="I69" s="28" t="s">
        <v>286</v>
      </c>
      <c r="J69" s="28" t="s">
        <v>287</v>
      </c>
      <c r="K69" s="28">
        <v>62</v>
      </c>
      <c r="L69" s="28"/>
      <c r="M69" s="28"/>
      <c r="N69" s="28">
        <v>1</v>
      </c>
      <c r="O69" s="28">
        <v>60</v>
      </c>
      <c r="P69" s="28">
        <v>0</v>
      </c>
      <c r="Q69" s="28">
        <v>53</v>
      </c>
    </row>
    <row r="70" spans="2:17" x14ac:dyDescent="0.25">
      <c r="B70" s="28">
        <v>66</v>
      </c>
      <c r="C70" s="28" t="s">
        <v>405</v>
      </c>
      <c r="D70" s="28" t="s">
        <v>351</v>
      </c>
      <c r="F70" s="28" t="s">
        <v>352</v>
      </c>
      <c r="G70" s="28">
        <v>63</v>
      </c>
      <c r="H70" s="28" t="s">
        <v>288</v>
      </c>
      <c r="I70" s="28" t="s">
        <v>289</v>
      </c>
      <c r="J70" s="28" t="s">
        <v>290</v>
      </c>
      <c r="K70" s="28">
        <v>63</v>
      </c>
      <c r="L70" s="28"/>
      <c r="M70" s="28"/>
      <c r="N70" s="28">
        <v>1</v>
      </c>
      <c r="O70" s="28">
        <v>80</v>
      </c>
      <c r="P70" s="28">
        <v>0</v>
      </c>
      <c r="Q70" s="28">
        <v>61</v>
      </c>
    </row>
    <row r="71" spans="2:17" x14ac:dyDescent="0.25">
      <c r="B71" s="28">
        <v>67</v>
      </c>
      <c r="C71" s="28" t="s">
        <v>406</v>
      </c>
      <c r="D71" s="28" t="s">
        <v>362</v>
      </c>
      <c r="F71" s="28" t="s">
        <v>363</v>
      </c>
      <c r="G71" s="28">
        <v>64</v>
      </c>
      <c r="H71" s="28" t="s">
        <v>291</v>
      </c>
      <c r="I71" s="28" t="s">
        <v>292</v>
      </c>
      <c r="J71" s="28" t="s">
        <v>293</v>
      </c>
      <c r="K71" s="28">
        <v>64</v>
      </c>
      <c r="L71" s="28"/>
      <c r="M71" s="28"/>
      <c r="N71" s="28">
        <v>1</v>
      </c>
      <c r="O71" s="28">
        <v>30</v>
      </c>
      <c r="P71" s="28">
        <v>0</v>
      </c>
      <c r="Q71" s="28">
        <v>6</v>
      </c>
    </row>
    <row r="72" spans="2:17" x14ac:dyDescent="0.25">
      <c r="B72" s="28">
        <v>68</v>
      </c>
      <c r="C72" s="28" t="s">
        <v>407</v>
      </c>
      <c r="D72" s="28" t="s">
        <v>351</v>
      </c>
      <c r="F72" s="28" t="s">
        <v>352</v>
      </c>
      <c r="G72" s="28">
        <v>65</v>
      </c>
      <c r="H72" s="28" t="s">
        <v>294</v>
      </c>
      <c r="I72" s="28" t="s">
        <v>295</v>
      </c>
      <c r="J72" s="28" t="s">
        <v>296</v>
      </c>
      <c r="K72" s="28">
        <v>65</v>
      </c>
      <c r="L72" s="28"/>
      <c r="M72" s="28"/>
      <c r="N72" s="28">
        <v>1</v>
      </c>
      <c r="O72" s="28">
        <v>80</v>
      </c>
      <c r="P72" s="28">
        <v>0</v>
      </c>
      <c r="Q72" s="28">
        <v>61</v>
      </c>
    </row>
    <row r="73" spans="2:17" x14ac:dyDescent="0.25">
      <c r="B73" s="28">
        <v>69</v>
      </c>
      <c r="C73" s="28" t="s">
        <v>408</v>
      </c>
      <c r="D73" s="28" t="s">
        <v>348</v>
      </c>
      <c r="F73" s="28" t="s">
        <v>374</v>
      </c>
      <c r="G73" s="28">
        <v>66</v>
      </c>
      <c r="H73" s="28" t="s">
        <v>297</v>
      </c>
      <c r="I73" s="28" t="s">
        <v>298</v>
      </c>
      <c r="J73" s="28" t="s">
        <v>299</v>
      </c>
      <c r="K73" s="28">
        <v>66</v>
      </c>
      <c r="L73" s="28"/>
      <c r="M73" s="28"/>
      <c r="N73" s="28">
        <v>1</v>
      </c>
      <c r="O73" s="28">
        <v>50</v>
      </c>
      <c r="P73" s="28">
        <v>0</v>
      </c>
      <c r="Q73" s="28">
        <v>61</v>
      </c>
    </row>
    <row r="74" spans="2:17" x14ac:dyDescent="0.25">
      <c r="B74" s="28">
        <v>70</v>
      </c>
      <c r="C74" s="28" t="s">
        <v>409</v>
      </c>
      <c r="D74" s="28" t="s">
        <v>348</v>
      </c>
      <c r="F74" s="28" t="s">
        <v>374</v>
      </c>
      <c r="G74" s="28">
        <v>67</v>
      </c>
      <c r="H74" s="28" t="s">
        <v>300</v>
      </c>
      <c r="I74" s="28" t="s">
        <v>301</v>
      </c>
      <c r="J74" s="28" t="s">
        <v>302</v>
      </c>
      <c r="K74" s="28">
        <v>67</v>
      </c>
      <c r="L74" s="28"/>
      <c r="M74" s="28"/>
      <c r="N74" s="28">
        <v>1</v>
      </c>
      <c r="O74" s="28">
        <v>50</v>
      </c>
      <c r="P74" s="28">
        <v>0</v>
      </c>
      <c r="Q74" s="28">
        <v>16</v>
      </c>
    </row>
    <row r="75" spans="2:17" x14ac:dyDescent="0.25">
      <c r="F75" s="28" t="s">
        <v>369</v>
      </c>
      <c r="G75" s="28">
        <v>68</v>
      </c>
      <c r="H75" s="28" t="s">
        <v>303</v>
      </c>
      <c r="I75" s="28" t="s">
        <v>304</v>
      </c>
      <c r="J75" s="28" t="s">
        <v>305</v>
      </c>
      <c r="K75" s="28">
        <v>68</v>
      </c>
      <c r="L75" s="28"/>
      <c r="M75" s="28"/>
      <c r="N75" s="28">
        <v>1</v>
      </c>
      <c r="O75" s="28">
        <v>90</v>
      </c>
      <c r="P75" s="28">
        <v>0</v>
      </c>
      <c r="Q75" s="28">
        <v>16</v>
      </c>
    </row>
  </sheetData>
  <autoFilter ref="B3:D3">
    <sortState ref="B4:D74">
      <sortCondition ref="B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CI_</vt:lpstr>
      <vt:lpstr>Sheet1</vt:lpstr>
      <vt:lpstr>Sheet4</vt:lpstr>
      <vt:lpstr>MENUSS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 la Rosa</dc:creator>
  <cp:lastModifiedBy>AX DE LA ROSA</cp:lastModifiedBy>
  <dcterms:created xsi:type="dcterms:W3CDTF">2018-09-05T16:16:25Z</dcterms:created>
  <dcterms:modified xsi:type="dcterms:W3CDTF">2020-06-23T18:08:35Z</dcterms:modified>
</cp:coreProperties>
</file>