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P:\IT\001_DEVELOPER_FILES\GitHub\GENERAL_SETTINGS\Scripts_R001_SYS_TAG_X_FORMA\"/>
    </mc:Choice>
  </mc:AlternateContent>
  <bookViews>
    <workbookView xWindow="0" yWindow="0" windowWidth="20490" windowHeight="7620" activeTab="1"/>
  </bookViews>
  <sheets>
    <sheet name="CI_" sheetId="1" r:id="rId1"/>
    <sheet name="Sheet1" sheetId="3" r:id="rId2"/>
  </sheets>
  <definedNames>
    <definedName name="_xlnm._FilterDatabase" localSheetId="0" hidden="1">CI_!$A$1:$N$11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1"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K5" i="1"/>
  <c r="K6" i="1"/>
  <c r="K9" i="1"/>
  <c r="K11" i="1"/>
  <c r="K14" i="1"/>
  <c r="K15" i="1"/>
  <c r="K18" i="1"/>
  <c r="K20" i="1"/>
  <c r="K23" i="1"/>
  <c r="K24" i="1"/>
  <c r="K27" i="1"/>
  <c r="K29" i="1"/>
  <c r="K32" i="1"/>
  <c r="K33" i="1"/>
  <c r="K36" i="1"/>
  <c r="K38" i="1"/>
  <c r="K41" i="1"/>
  <c r="K42" i="1"/>
  <c r="K45" i="1"/>
  <c r="K47" i="1"/>
  <c r="K50" i="1"/>
  <c r="K51" i="1"/>
  <c r="K54" i="1"/>
  <c r="K56" i="1"/>
  <c r="K59" i="1"/>
  <c r="K60" i="1"/>
  <c r="K63" i="1"/>
  <c r="K65" i="1"/>
  <c r="K68" i="1"/>
  <c r="K69" i="1"/>
  <c r="K8"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F3" i="1"/>
  <c r="K66" i="1" l="1"/>
  <c r="K62" i="1"/>
  <c r="K57" i="1"/>
  <c r="K53" i="1"/>
  <c r="K48" i="1"/>
  <c r="K44" i="1"/>
  <c r="K39" i="1"/>
  <c r="K35" i="1"/>
  <c r="K30" i="1"/>
  <c r="K26" i="1"/>
  <c r="K21" i="1"/>
  <c r="K17" i="1"/>
  <c r="K12" i="1"/>
  <c r="K70" i="1"/>
  <c r="K67" i="1"/>
  <c r="K64" i="1"/>
  <c r="K61" i="1"/>
  <c r="K58" i="1"/>
  <c r="K55" i="1"/>
  <c r="K52" i="1"/>
  <c r="K49" i="1"/>
  <c r="K46" i="1"/>
  <c r="K43" i="1"/>
  <c r="K40" i="1"/>
  <c r="K37" i="1"/>
  <c r="K34" i="1"/>
  <c r="K31" i="1"/>
  <c r="K28" i="1"/>
  <c r="K25" i="1"/>
  <c r="K22" i="1"/>
  <c r="K19" i="1"/>
  <c r="K16" i="1"/>
  <c r="K13" i="1"/>
  <c r="K10" i="1"/>
  <c r="K7" i="1"/>
  <c r="K4" i="1"/>
  <c r="G4" i="1" l="1"/>
  <c r="G3" i="1" l="1"/>
  <c r="K2" i="1" l="1"/>
  <c r="K3" i="1" l="1"/>
</calcChain>
</file>

<file path=xl/sharedStrings.xml><?xml version="1.0" encoding="utf-8"?>
<sst xmlns="http://schemas.openxmlformats.org/spreadsheetml/2006/main" count="167" uniqueCount="93">
  <si>
    <t>K_USUARIO_ACCION</t>
  </si>
  <si>
    <t xml:space="preserve">] </t>
  </si>
  <si>
    <t>-</t>
  </si>
  <si>
    <t>???</t>
  </si>
  <si>
    <t>EXECUTE [dbo].[</t>
  </si>
  <si>
    <t>[D_FOBPoint]</t>
  </si>
  <si>
    <t>[S_FOBPoint]</t>
  </si>
  <si>
    <t>[O_FOBPoint]</t>
  </si>
  <si>
    <t>[C_FOBPoint]</t>
  </si>
  <si>
    <t>[L_FOBPoint]</t>
  </si>
  <si>
    <t>production report</t>
  </si>
  <si>
    <t>supervisors</t>
  </si>
  <si>
    <t>production</t>
  </si>
  <si>
    <t>rejects</t>
  </si>
  <si>
    <t>planning screen</t>
  </si>
  <si>
    <t>transactions</t>
  </si>
  <si>
    <t>hides scanner</t>
  </si>
  <si>
    <t>packing slip</t>
  </si>
  <si>
    <t>transfer mct to mfp</t>
  </si>
  <si>
    <t>mfp inventory</t>
  </si>
  <si>
    <t>labels</t>
  </si>
  <si>
    <t>hide labels</t>
  </si>
  <si>
    <t>ppms</t>
  </si>
  <si>
    <t>load release</t>
  </si>
  <si>
    <t>edi weekly rpt</t>
  </si>
  <si>
    <t>daily inventory</t>
  </si>
  <si>
    <t>hides allocation</t>
  </si>
  <si>
    <t>human resources</t>
  </si>
  <si>
    <t>stock status</t>
  </si>
  <si>
    <t>excel production report</t>
  </si>
  <si>
    <t>bell curve</t>
  </si>
  <si>
    <t>transaction report</t>
  </si>
  <si>
    <t>certification report</t>
  </si>
  <si>
    <t>folios inventory</t>
  </si>
  <si>
    <t>quality rejects</t>
  </si>
  <si>
    <t>packing macola</t>
  </si>
  <si>
    <t>tags</t>
  </si>
  <si>
    <t>sales by cust</t>
  </si>
  <si>
    <t>poliza de nomina</t>
  </si>
  <si>
    <t>history by job no</t>
  </si>
  <si>
    <t>pattern labels</t>
  </si>
  <si>
    <t>cumulative report</t>
  </si>
  <si>
    <t>incoming inspection</t>
  </si>
  <si>
    <t>status de ordenes</t>
  </si>
  <si>
    <t>colors mant</t>
  </si>
  <si>
    <t>update target</t>
  </si>
  <si>
    <t>lot comp</t>
  </si>
  <si>
    <t>engineering screen</t>
  </si>
  <si>
    <t>prod category</t>
  </si>
  <si>
    <t>item master</t>
  </si>
  <si>
    <t>kit master</t>
  </si>
  <si>
    <t>add location</t>
  </si>
  <si>
    <t>billing</t>
  </si>
  <si>
    <t>trans folios</t>
  </si>
  <si>
    <t>re-print invoice</t>
  </si>
  <si>
    <t>cum report</t>
  </si>
  <si>
    <t>reporte de defectos</t>
  </si>
  <si>
    <t>lot yield</t>
  </si>
  <si>
    <t>lot track</t>
  </si>
  <si>
    <t>salidas de inv</t>
  </si>
  <si>
    <t>usuarios</t>
  </si>
  <si>
    <t>mtto preventivo</t>
  </si>
  <si>
    <t>equipos</t>
  </si>
  <si>
    <t>bajas</t>
  </si>
  <si>
    <t>capacitacion</t>
  </si>
  <si>
    <t>hide labels JL</t>
  </si>
  <si>
    <t>toners</t>
  </si>
  <si>
    <t>cerrar kits</t>
  </si>
  <si>
    <t>ausentismo</t>
  </si>
  <si>
    <t>reporte</t>
  </si>
  <si>
    <t>compras</t>
  </si>
  <si>
    <t>import hides</t>
  </si>
  <si>
    <t>head count</t>
  </si>
  <si>
    <t>sales report</t>
  </si>
  <si>
    <t>fingerprint</t>
  </si>
  <si>
    <t>customers</t>
  </si>
  <si>
    <t>cotizaciones</t>
  </si>
  <si>
    <t>(NO-SISTEMA)</t>
  </si>
  <si>
    <t>( N/S )</t>
  </si>
  <si>
    <t>[K_GRUPO_TAG]</t>
  </si>
  <si>
    <t>[K_SISTEMA]</t>
  </si>
  <si>
    <t>PG_CI_SISTEMA_TAG</t>
  </si>
  <si>
    <t>GRUPO_TAG</t>
  </si>
  <si>
    <t>calidad</t>
  </si>
  <si>
    <t>final</t>
  </si>
  <si>
    <t>finanzas</t>
  </si>
  <si>
    <t>general</t>
  </si>
  <si>
    <t>ingenieria</t>
  </si>
  <si>
    <t>materiales</t>
  </si>
  <si>
    <t>produccion</t>
  </si>
  <si>
    <t>recursos humanos</t>
  </si>
  <si>
    <t>sistemas</t>
  </si>
  <si>
    <t>SISTEMA_TAG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</si>
</sst>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_-&quot;$&quot;* #,##0.00_-;\-&quot;$&quot;* #,##0.00_-;_-&quot;$&quot;* &quot;-&quot;??_-;_-@_-"/>
    <numFmt numFmtId="165" formatCode="_-* #,##0.00_-;\-* #,##0.00_-;_-* &quot;-&quot;??_-;_-@_-"/>
    <numFmt numFmtId="166" formatCode="000"/>
  </numFmts>
  <fonts count="12" x14ac:knownFonts="1">
    <font>
      <sz val="11"/>
      <color theme="1"/>
      <name val="Calibri"/>
      <family val="2"/>
      <scheme val="minor"/>
    </font>
    <font>
      <b/>
      <sz val="9"/>
      <color theme="1"/>
      <name val="Calibri"/>
      <family val="2"/>
      <scheme val="minor"/>
    </font>
    <font>
      <b/>
      <i/>
      <sz val="9"/>
      <color rgb="FFC00000"/>
      <name val="Calibri"/>
      <family val="2"/>
      <scheme val="minor"/>
    </font>
    <font>
      <sz val="9"/>
      <color theme="1"/>
      <name val="Calibri"/>
      <family val="2"/>
      <scheme val="minor"/>
    </font>
    <font>
      <i/>
      <sz val="9"/>
      <color theme="1"/>
      <name val="Calibri"/>
      <family val="2"/>
      <scheme val="minor"/>
    </font>
    <font>
      <b/>
      <u/>
      <sz val="9"/>
      <color theme="1"/>
      <name val="Calibri"/>
      <family val="2"/>
      <scheme val="minor"/>
    </font>
    <font>
      <sz val="10"/>
      <name val="Arial"/>
      <family val="2"/>
    </font>
    <font>
      <sz val="10"/>
      <name val="Arial"/>
      <family val="2"/>
    </font>
    <font>
      <sz val="11"/>
      <color rgb="FFFF0000"/>
      <name val="Calibri"/>
      <family val="2"/>
      <scheme val="minor"/>
    </font>
    <font>
      <b/>
      <i/>
      <sz val="9"/>
      <color rgb="FF00B050"/>
      <name val="Calibri"/>
      <family val="2"/>
      <scheme val="minor"/>
    </font>
    <font>
      <b/>
      <i/>
      <sz val="11"/>
      <color rgb="FFC00000"/>
      <name val="Calibri"/>
      <family val="2"/>
      <scheme val="minor"/>
    </font>
    <font>
      <b/>
      <sz val="9"/>
      <name val="Calibri"/>
      <family val="2"/>
      <scheme val="minor"/>
    </font>
  </fonts>
  <fills count="2">
    <fill>
      <patternFill patternType="none"/>
    </fill>
    <fill>
      <patternFill patternType="gray125"/>
    </fill>
  </fills>
  <borders count="1">
    <border>
      <left/>
      <right/>
      <top/>
      <bottom/>
      <diagonal/>
    </border>
  </borders>
  <cellStyleXfs count="8">
    <xf numFmtId="0" fontId="0" fillId="0" borderId="0"/>
    <xf numFmtId="0" fontId="6" fillId="0" borderId="0"/>
    <xf numFmtId="165" fontId="7" fillId="0" borderId="0" applyFont="0" applyFill="0" applyBorder="0" applyAlignment="0" applyProtection="0"/>
    <xf numFmtId="165" fontId="6"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4" fontId="6" fillId="0" borderId="0" applyFont="0" applyFill="0" applyBorder="0" applyAlignment="0" applyProtection="0"/>
    <xf numFmtId="0" fontId="7" fillId="0" borderId="0"/>
  </cellStyleXfs>
  <cellXfs count="27">
    <xf numFmtId="0" fontId="0" fillId="0" borderId="0" xfId="0"/>
    <xf numFmtId="0" fontId="1" fillId="0" borderId="0" xfId="0" applyFont="1" applyAlignment="1">
      <alignment vertical="center"/>
    </xf>
    <xf numFmtId="0" fontId="2" fillId="0" borderId="0" xfId="0" applyFont="1" applyFill="1" applyAlignment="1">
      <alignment horizontal="left" vertical="center"/>
    </xf>
    <xf numFmtId="0" fontId="0" fillId="0" borderId="0" xfId="0" applyAlignment="1">
      <alignment horizontal="center"/>
    </xf>
    <xf numFmtId="0" fontId="5" fillId="0" borderId="0" xfId="0" applyFont="1" applyAlignment="1">
      <alignment vertical="center"/>
    </xf>
    <xf numFmtId="0" fontId="1" fillId="0" borderId="0" xfId="0" quotePrefix="1" applyFont="1" applyAlignment="1">
      <alignment vertical="center"/>
    </xf>
    <xf numFmtId="0" fontId="4" fillId="0" borderId="0" xfId="0" quotePrefix="1" applyFont="1" applyAlignment="1">
      <alignment horizontal="left" vertical="center"/>
    </xf>
    <xf numFmtId="0" fontId="0" fillId="0" borderId="0" xfId="0" applyAlignment="1">
      <alignment horizontal="left"/>
    </xf>
    <xf numFmtId="0" fontId="1" fillId="0" borderId="0" xfId="0" applyFont="1" applyFill="1" applyAlignment="1">
      <alignment vertical="center"/>
    </xf>
    <xf numFmtId="0" fontId="3" fillId="0" borderId="0" xfId="0" applyFont="1" applyFill="1" applyAlignment="1">
      <alignment vertical="center"/>
    </xf>
    <xf numFmtId="0" fontId="0" fillId="0" borderId="0" xfId="0" applyFill="1"/>
    <xf numFmtId="0" fontId="8" fillId="0" borderId="0" xfId="0" applyFont="1" applyAlignment="1">
      <alignment horizontal="center"/>
    </xf>
    <xf numFmtId="0" fontId="2" fillId="0" borderId="0" xfId="0" quotePrefix="1" applyFont="1" applyAlignment="1">
      <alignment horizontal="center" vertical="center"/>
    </xf>
    <xf numFmtId="0" fontId="10" fillId="0" borderId="0" xfId="0" applyFont="1" applyAlignment="1">
      <alignment horizontal="center"/>
    </xf>
    <xf numFmtId="0" fontId="11" fillId="0" borderId="0" xfId="0" applyFont="1" applyAlignment="1">
      <alignment horizontal="center" vertical="center"/>
    </xf>
    <xf numFmtId="0" fontId="11" fillId="0" borderId="0" xfId="0" applyFont="1" applyAlignment="1">
      <alignment vertical="center"/>
    </xf>
    <xf numFmtId="0" fontId="1" fillId="0" borderId="0" xfId="0" applyFont="1" applyFill="1" applyAlignment="1">
      <alignment horizontal="center" vertical="center"/>
    </xf>
    <xf numFmtId="0" fontId="4" fillId="0" borderId="0" xfId="0" applyFont="1" applyFill="1" applyAlignment="1">
      <alignment horizontal="center" vertical="center"/>
    </xf>
    <xf numFmtId="0" fontId="4" fillId="0" borderId="0" xfId="0" quotePrefix="1" applyFont="1" applyFill="1" applyAlignment="1">
      <alignment horizontal="left" vertical="center"/>
    </xf>
    <xf numFmtId="0" fontId="4" fillId="0" borderId="0" xfId="0" quotePrefix="1" applyFont="1" applyFill="1" applyAlignment="1">
      <alignment horizontal="center" vertical="center"/>
    </xf>
    <xf numFmtId="0" fontId="9" fillId="0" borderId="0" xfId="0" applyFont="1" applyFill="1" applyAlignment="1">
      <alignment horizontal="left" vertical="center"/>
    </xf>
    <xf numFmtId="0" fontId="3" fillId="0" borderId="0" xfId="0" quotePrefix="1" applyFont="1" applyFill="1" applyAlignment="1">
      <alignment horizontal="center" vertical="center"/>
    </xf>
    <xf numFmtId="166" fontId="2" fillId="0" borderId="0" xfId="0" applyNumberFormat="1" applyFont="1" applyFill="1" applyAlignment="1">
      <alignment horizontal="center" vertical="center"/>
    </xf>
    <xf numFmtId="0" fontId="10" fillId="0" borderId="0" xfId="0" applyFont="1" applyAlignment="1">
      <alignment horizontal="center" vertical="center"/>
    </xf>
    <xf numFmtId="0" fontId="2" fillId="0" borderId="0" xfId="0" quotePrefix="1" applyFont="1" applyAlignment="1">
      <alignment horizontal="left" vertical="center"/>
    </xf>
    <xf numFmtId="0" fontId="3" fillId="0" borderId="0" xfId="0" quotePrefix="1" applyFont="1" applyFill="1" applyAlignment="1">
      <alignment horizontal="left" vertical="center"/>
    </xf>
    <xf numFmtId="0" fontId="10" fillId="0" borderId="0" xfId="0" applyFont="1" applyAlignment="1">
      <alignment horizontal="left" vertical="center"/>
    </xf>
  </cellXfs>
  <cellStyles count="8">
    <cellStyle name="Comma 2" xfId="2"/>
    <cellStyle name="Millares 2" xfId="3"/>
    <cellStyle name="Millares 3" xfId="4"/>
    <cellStyle name="Millares 4" xfId="5"/>
    <cellStyle name="Moneda 2" xfId="6"/>
    <cellStyle name="Normal" xfId="0" builtinId="0"/>
    <cellStyle name="Normal 2" xfId="7"/>
    <cellStyle name="Normal 3" xfId="1"/>
  </cellStyles>
  <dxfs count="20">
    <dxf>
      <font>
        <b/>
        <i/>
        <strike val="0"/>
        <color rgb="FFC00000"/>
      </font>
    </dxf>
    <dxf>
      <font>
        <b/>
        <i/>
        <strike val="0"/>
        <color rgb="FFC00000"/>
      </font>
    </dxf>
    <dxf>
      <font>
        <b/>
        <i/>
        <strike val="0"/>
        <color rgb="FFC00000"/>
      </font>
    </dxf>
    <dxf>
      <font>
        <b/>
        <i/>
        <strike val="0"/>
        <color rgb="FFC00000"/>
      </font>
    </dxf>
    <dxf>
      <font>
        <color rgb="FF9C0006"/>
      </font>
      <fill>
        <patternFill>
          <bgColor rgb="FFFFC7CE"/>
        </patternFill>
      </fill>
    </dxf>
    <dxf>
      <font>
        <color rgb="FF9C0006"/>
      </font>
      <fill>
        <patternFill>
          <bgColor rgb="FFFFC7CE"/>
        </patternFill>
      </fill>
    </dxf>
    <dxf>
      <font>
        <b/>
        <i/>
        <strike val="0"/>
        <color rgb="FFC00000"/>
      </font>
    </dxf>
    <dxf>
      <font>
        <b/>
        <i/>
        <strike val="0"/>
        <color rgb="FFC00000"/>
      </font>
    </dxf>
    <dxf>
      <font>
        <b/>
        <i/>
        <strike val="0"/>
        <color rgb="FFC0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strike val="0"/>
        <color rgb="FFC00000"/>
      </font>
    </dxf>
    <dxf>
      <font>
        <b/>
        <i/>
        <strike val="0"/>
        <color rgb="FFC0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
  <dimension ref="A1:N250"/>
  <sheetViews>
    <sheetView zoomScale="130" zoomScaleNormal="130" workbookViewId="0">
      <selection activeCell="N1" sqref="N1"/>
    </sheetView>
  </sheetViews>
  <sheetFormatPr defaultColWidth="11.42578125" defaultRowHeight="15" x14ac:dyDescent="0.25"/>
  <cols>
    <col min="1" max="1" width="3.28515625" style="11" customWidth="1"/>
    <col min="2" max="2" width="4.140625" customWidth="1"/>
    <col min="3" max="3" width="13.7109375" style="13" customWidth="1"/>
    <col min="4" max="4" width="18" style="7" bestFit="1" customWidth="1"/>
    <col min="5" max="5" width="15" style="7" bestFit="1" customWidth="1"/>
    <col min="6" max="6" width="15.5703125" style="23" bestFit="1" customWidth="1"/>
    <col min="7" max="7" width="24.28515625" style="26" bestFit="1" customWidth="1"/>
    <col min="8" max="8" width="14.85546875" style="13" bestFit="1" customWidth="1"/>
    <col min="9" max="9" width="13.85546875" style="23" customWidth="1"/>
    <col min="10" max="10" width="8.42578125" customWidth="1"/>
    <col min="11" max="11" width="25.28515625" customWidth="1"/>
    <col min="12" max="12" width="17.42578125" style="10" customWidth="1"/>
  </cols>
  <sheetData>
    <row r="1" spans="1:14" s="15" customFormat="1" x14ac:dyDescent="0.25">
      <c r="A1" s="14" t="s">
        <v>3</v>
      </c>
      <c r="B1" s="15" t="s">
        <v>0</v>
      </c>
      <c r="C1" t="s">
        <v>80</v>
      </c>
      <c r="D1" t="s">
        <v>5</v>
      </c>
      <c r="E1" t="s">
        <v>6</v>
      </c>
      <c r="F1" t="s">
        <v>7</v>
      </c>
      <c r="G1" t="s">
        <v>8</v>
      </c>
      <c r="H1" t="s">
        <v>9</v>
      </c>
      <c r="I1" t="s">
        <v>79</v>
      </c>
      <c r="K1" s="15" t="s">
        <v>4</v>
      </c>
      <c r="L1" s="15" t="s">
        <v>81</v>
      </c>
      <c r="M1" s="15" t="s">
        <v>1</v>
      </c>
      <c r="N1" s="15" t="str">
        <f>CONCATENATE($K$1,$L$1,$M$1,  B3, ", ", )</f>
        <v xml:space="preserve">EXECUTE [dbo].[PG_CI_SISTEMA_TAG] 139, </v>
      </c>
    </row>
    <row r="2" spans="1:14" s="8" customFormat="1" x14ac:dyDescent="0.25">
      <c r="A2" s="3"/>
      <c r="B2" s="5" t="s">
        <v>2</v>
      </c>
      <c r="C2" s="12" t="s">
        <v>2</v>
      </c>
      <c r="D2" s="6" t="s">
        <v>2</v>
      </c>
      <c r="E2" s="6" t="s">
        <v>2</v>
      </c>
      <c r="F2" s="12" t="s">
        <v>2</v>
      </c>
      <c r="G2" s="24" t="s">
        <v>2</v>
      </c>
      <c r="H2" s="12" t="s">
        <v>2</v>
      </c>
      <c r="I2" s="12" t="s">
        <v>2</v>
      </c>
      <c r="J2" s="1"/>
      <c r="K2" s="2" t="str">
        <f>"-- =========================================================="</f>
        <v>-- ==========================================================</v>
      </c>
      <c r="M2" s="4"/>
      <c r="N2" s="1"/>
    </row>
    <row r="3" spans="1:14" s="8" customFormat="1" x14ac:dyDescent="0.25">
      <c r="A3" s="16"/>
      <c r="B3" s="17">
        <v>139</v>
      </c>
      <c r="C3" s="22">
        <v>0</v>
      </c>
      <c r="D3" s="18" t="s">
        <v>77</v>
      </c>
      <c r="E3" s="19" t="s">
        <v>78</v>
      </c>
      <c r="F3" s="23">
        <f>C3</f>
        <v>0</v>
      </c>
      <c r="G3" s="25" t="str">
        <f t="shared" ref="G3:G66" si="0">CONCATENATE("#",C3," // ",D3)</f>
        <v>#0 // (NO-SISTEMA)</v>
      </c>
      <c r="H3" s="21">
        <v>1</v>
      </c>
      <c r="I3" s="23">
        <v>0</v>
      </c>
      <c r="K3" s="20" t="str">
        <f>CONCATENATE(CI_!$N$1,C3,", '",D3,"', '",E3,"' , ",F3," , '",G3,"' , ",H3,",",I3)</f>
        <v>EXECUTE [dbo].[PG_CI_SISTEMA_TAG] 139, 0, '(NO-SISTEMA)', '( N/S )' , 0 , '#0 // (NO-SISTEMA)' , 1,0</v>
      </c>
      <c r="L3" s="9"/>
    </row>
    <row r="4" spans="1:14" s="8" customFormat="1" x14ac:dyDescent="0.25">
      <c r="A4" s="16"/>
      <c r="B4" s="17">
        <v>139</v>
      </c>
      <c r="C4" s="22">
        <v>1</v>
      </c>
      <c r="D4" s="18" t="s">
        <v>10</v>
      </c>
      <c r="E4" s="19"/>
      <c r="F4" s="23">
        <f t="shared" ref="F4:F67" si="1">C4</f>
        <v>1</v>
      </c>
      <c r="G4" s="25" t="str">
        <f>CONCATENATE("#",C4," // ",D4)</f>
        <v>#1 // production report</v>
      </c>
      <c r="H4" s="21">
        <v>1</v>
      </c>
      <c r="I4" s="23">
        <v>70</v>
      </c>
      <c r="K4" s="20" t="str">
        <f>CONCATENATE(CI_!$N$1,C4,", '",D4,"', '",E4,"' , ",F4," , '",G4,"' , ",H4,",",I4)</f>
        <v>EXECUTE [dbo].[PG_CI_SISTEMA_TAG] 139, 1, 'production report', '' , 1 , '#1 // production report' , 1,70</v>
      </c>
      <c r="L4" s="9"/>
    </row>
    <row r="5" spans="1:14" s="8" customFormat="1" x14ac:dyDescent="0.25">
      <c r="A5" s="16"/>
      <c r="B5" s="17">
        <v>139</v>
      </c>
      <c r="C5" s="22">
        <v>2</v>
      </c>
      <c r="D5" s="18" t="s">
        <v>11</v>
      </c>
      <c r="E5" s="19"/>
      <c r="F5" s="23">
        <f t="shared" si="1"/>
        <v>2</v>
      </c>
      <c r="G5" s="25" t="str">
        <f t="shared" si="0"/>
        <v>#2 // supervisors</v>
      </c>
      <c r="H5" s="21">
        <v>1</v>
      </c>
      <c r="I5" s="23">
        <v>70</v>
      </c>
      <c r="K5" s="20" t="str">
        <f>CONCATENATE(CI_!$N$1,C5,", '",D5,"', '",E5,"' , ",F5," , '",G5,"' , ",H5,",",I5)</f>
        <v>EXECUTE [dbo].[PG_CI_SISTEMA_TAG] 139, 2, 'supervisors', '' , 2 , '#2 // supervisors' , 1,70</v>
      </c>
      <c r="L5" s="9"/>
    </row>
    <row r="6" spans="1:14" s="8" customFormat="1" x14ac:dyDescent="0.25">
      <c r="A6" s="16"/>
      <c r="B6" s="17">
        <v>139</v>
      </c>
      <c r="C6" s="22">
        <v>3</v>
      </c>
      <c r="D6" s="18" t="s">
        <v>12</v>
      </c>
      <c r="E6" s="19"/>
      <c r="F6" s="23">
        <f t="shared" si="1"/>
        <v>3</v>
      </c>
      <c r="G6" s="25" t="str">
        <f t="shared" si="0"/>
        <v>#3 // production</v>
      </c>
      <c r="H6" s="21">
        <v>1</v>
      </c>
      <c r="I6" s="23">
        <v>70</v>
      </c>
      <c r="K6" s="20" t="str">
        <f>CONCATENATE(CI_!$N$1,C6,", '",D6,"', '",E6,"' , ",F6," , '",G6,"' , ",H6,",",I6)</f>
        <v>EXECUTE [dbo].[PG_CI_SISTEMA_TAG] 139, 3, 'production', '' , 3 , '#3 // production' , 1,70</v>
      </c>
      <c r="L6" s="9"/>
    </row>
    <row r="7" spans="1:14" x14ac:dyDescent="0.25">
      <c r="A7" s="16"/>
      <c r="B7" s="17">
        <v>139</v>
      </c>
      <c r="C7" s="22">
        <v>4</v>
      </c>
      <c r="D7" s="18" t="s">
        <v>13</v>
      </c>
      <c r="E7" s="19"/>
      <c r="F7" s="23">
        <f t="shared" si="1"/>
        <v>4</v>
      </c>
      <c r="G7" s="25" t="str">
        <f t="shared" si="0"/>
        <v>#4 // rejects</v>
      </c>
      <c r="H7" s="21">
        <v>1</v>
      </c>
      <c r="I7" s="23">
        <v>70</v>
      </c>
      <c r="J7" s="8"/>
      <c r="K7" s="20" t="str">
        <f>CONCATENATE(CI_!$N$1,C7,", '",D7,"', '",E7,"' , ",F7," , '",G7,"' , ",H7,",",I7)</f>
        <v>EXECUTE [dbo].[PG_CI_SISTEMA_TAG] 139, 4, 'rejects', '' , 4 , '#4 // rejects' , 1,70</v>
      </c>
      <c r="L7" s="9"/>
      <c r="M7" s="8"/>
      <c r="N7" s="8"/>
    </row>
    <row r="8" spans="1:14" s="8" customFormat="1" x14ac:dyDescent="0.25">
      <c r="A8" s="16"/>
      <c r="B8" s="17">
        <v>139</v>
      </c>
      <c r="C8" s="22">
        <v>5</v>
      </c>
      <c r="D8" s="18" t="s">
        <v>14</v>
      </c>
      <c r="E8" s="19"/>
      <c r="F8" s="23">
        <f t="shared" si="1"/>
        <v>5</v>
      </c>
      <c r="G8" s="25" t="str">
        <f t="shared" si="0"/>
        <v>#5 // planning screen</v>
      </c>
      <c r="H8" s="21">
        <v>1</v>
      </c>
      <c r="I8" s="23">
        <v>60</v>
      </c>
      <c r="K8" s="20" t="str">
        <f>CONCATENATE(CI_!$N$1,C8,", '",D8,"', '",E8,"' , ",F8," , '",G8,"' , ",H8,",",I8)</f>
        <v>EXECUTE [dbo].[PG_CI_SISTEMA_TAG] 139, 5, 'planning screen', '' , 5 , '#5 // planning screen' , 1,60</v>
      </c>
      <c r="L8" s="9"/>
    </row>
    <row r="9" spans="1:14" s="8" customFormat="1" x14ac:dyDescent="0.25">
      <c r="A9" s="16"/>
      <c r="B9" s="17">
        <v>139</v>
      </c>
      <c r="C9" s="22">
        <v>6</v>
      </c>
      <c r="D9" s="18" t="s">
        <v>15</v>
      </c>
      <c r="E9" s="19"/>
      <c r="F9" s="23">
        <f t="shared" si="1"/>
        <v>6</v>
      </c>
      <c r="G9" s="25" t="str">
        <f t="shared" si="0"/>
        <v>#6 // transactions</v>
      </c>
      <c r="H9" s="21">
        <v>1</v>
      </c>
      <c r="I9" s="23">
        <v>60</v>
      </c>
      <c r="K9" s="20" t="str">
        <f>CONCATENATE(CI_!$N$1,C9,", '",D9,"', '",E9,"' , ",F9," , '",G9,"' , ",H9,",",I9)</f>
        <v>EXECUTE [dbo].[PG_CI_SISTEMA_TAG] 139, 6, 'transactions', '' , 6 , '#6 // transactions' , 1,60</v>
      </c>
      <c r="L9" s="9"/>
    </row>
    <row r="10" spans="1:14" s="8" customFormat="1" x14ac:dyDescent="0.25">
      <c r="A10" s="16"/>
      <c r="B10" s="17">
        <v>139</v>
      </c>
      <c r="C10" s="22">
        <v>7</v>
      </c>
      <c r="D10" s="18" t="s">
        <v>16</v>
      </c>
      <c r="E10" s="19"/>
      <c r="F10" s="23">
        <f t="shared" si="1"/>
        <v>7</v>
      </c>
      <c r="G10" s="25" t="str">
        <f t="shared" si="0"/>
        <v>#7 // hides scanner</v>
      </c>
      <c r="H10" s="21">
        <v>1</v>
      </c>
      <c r="I10" s="23">
        <v>60</v>
      </c>
      <c r="K10" s="20" t="str">
        <f>CONCATENATE(CI_!$N$1,C10,", '",D10,"', '",E10,"' , ",F10," , '",G10,"' , ",H10,",",I10)</f>
        <v>EXECUTE [dbo].[PG_CI_SISTEMA_TAG] 139, 7, 'hides scanner', '' , 7 , '#7 // hides scanner' , 1,60</v>
      </c>
      <c r="L10" s="9"/>
    </row>
    <row r="11" spans="1:14" s="8" customFormat="1" x14ac:dyDescent="0.25">
      <c r="A11" s="16"/>
      <c r="B11" s="17">
        <v>139</v>
      </c>
      <c r="C11" s="22">
        <v>8</v>
      </c>
      <c r="D11" s="18" t="s">
        <v>17</v>
      </c>
      <c r="E11" s="19"/>
      <c r="F11" s="23">
        <f t="shared" si="1"/>
        <v>8</v>
      </c>
      <c r="G11" s="25" t="str">
        <f t="shared" si="0"/>
        <v>#8 // packing slip</v>
      </c>
      <c r="H11" s="21">
        <v>1</v>
      </c>
      <c r="I11" s="23">
        <v>20</v>
      </c>
      <c r="K11" s="20" t="str">
        <f>CONCATENATE(CI_!$N$1,C11,", '",D11,"', '",E11,"' , ",F11," , '",G11,"' , ",H11,",",I11)</f>
        <v>EXECUTE [dbo].[PG_CI_SISTEMA_TAG] 139, 8, 'packing slip', '' , 8 , '#8 // packing slip' , 1,20</v>
      </c>
      <c r="L11" s="9"/>
    </row>
    <row r="12" spans="1:14" s="8" customFormat="1" x14ac:dyDescent="0.25">
      <c r="A12" s="16"/>
      <c r="B12" s="17">
        <v>139</v>
      </c>
      <c r="C12" s="22">
        <v>9</v>
      </c>
      <c r="D12" s="18" t="s">
        <v>18</v>
      </c>
      <c r="E12" s="19"/>
      <c r="F12" s="23">
        <f t="shared" si="1"/>
        <v>9</v>
      </c>
      <c r="G12" s="25" t="str">
        <f t="shared" si="0"/>
        <v>#9 // transfer mct to mfp</v>
      </c>
      <c r="H12" s="21">
        <v>1</v>
      </c>
      <c r="I12" s="23">
        <v>20</v>
      </c>
      <c r="K12" s="20" t="str">
        <f>CONCATENATE(CI_!$N$1,C12,", '",D12,"', '",E12,"' , ",F12," , '",G12,"' , ",H12,",",I12)</f>
        <v>EXECUTE [dbo].[PG_CI_SISTEMA_TAG] 139, 9, 'transfer mct to mfp', '' , 9 , '#9 // transfer mct to mfp' , 1,20</v>
      </c>
      <c r="L12" s="9"/>
    </row>
    <row r="13" spans="1:14" s="8" customFormat="1" x14ac:dyDescent="0.25">
      <c r="A13" s="16"/>
      <c r="B13" s="17">
        <v>139</v>
      </c>
      <c r="C13" s="22">
        <v>10</v>
      </c>
      <c r="D13" s="18" t="s">
        <v>19</v>
      </c>
      <c r="E13" s="19"/>
      <c r="F13" s="23">
        <f t="shared" si="1"/>
        <v>10</v>
      </c>
      <c r="G13" s="25" t="str">
        <f t="shared" si="0"/>
        <v>#10 // mfp inventory</v>
      </c>
      <c r="H13" s="21">
        <v>1</v>
      </c>
      <c r="I13" s="23">
        <v>20</v>
      </c>
      <c r="K13" s="20" t="str">
        <f>CONCATENATE(CI_!$N$1,C13,", '",D13,"', '",E13,"' , ",F13," , '",G13,"' , ",H13,",",I13)</f>
        <v>EXECUTE [dbo].[PG_CI_SISTEMA_TAG] 139, 10, 'mfp inventory', '' , 10 , '#10 // mfp inventory' , 1,20</v>
      </c>
      <c r="L13" s="9"/>
    </row>
    <row r="14" spans="1:14" s="8" customFormat="1" x14ac:dyDescent="0.25">
      <c r="A14" s="16"/>
      <c r="B14" s="17">
        <v>139</v>
      </c>
      <c r="C14" s="22">
        <v>11</v>
      </c>
      <c r="D14" s="18" t="s">
        <v>20</v>
      </c>
      <c r="E14" s="19"/>
      <c r="F14" s="23">
        <f t="shared" si="1"/>
        <v>11</v>
      </c>
      <c r="G14" s="25" t="str">
        <f t="shared" si="0"/>
        <v>#11 // labels</v>
      </c>
      <c r="H14" s="21">
        <v>1</v>
      </c>
      <c r="I14" s="23">
        <v>60</v>
      </c>
      <c r="K14" s="20" t="str">
        <f>CONCATENATE(CI_!$N$1,C14,", '",D14,"', '",E14,"' , ",F14," , '",G14,"' , ",H14,",",I14)</f>
        <v>EXECUTE [dbo].[PG_CI_SISTEMA_TAG] 139, 11, 'labels', '' , 11 , '#11 // labels' , 1,60</v>
      </c>
      <c r="L14" s="9"/>
    </row>
    <row r="15" spans="1:14" s="8" customFormat="1" x14ac:dyDescent="0.25">
      <c r="A15" s="16"/>
      <c r="B15" s="17">
        <v>139</v>
      </c>
      <c r="C15" s="22">
        <v>12</v>
      </c>
      <c r="D15" s="18" t="s">
        <v>21</v>
      </c>
      <c r="E15" s="19"/>
      <c r="F15" s="23">
        <f t="shared" si="1"/>
        <v>12</v>
      </c>
      <c r="G15" s="25" t="str">
        <f t="shared" si="0"/>
        <v>#12 // hide labels</v>
      </c>
      <c r="H15" s="21">
        <v>1</v>
      </c>
      <c r="I15" s="23">
        <v>60</v>
      </c>
      <c r="K15" s="20" t="str">
        <f>CONCATENATE(CI_!$N$1,C15,", '",D15,"', '",E15,"' , ",F15," , '",G15,"' , ",H15,",",I15)</f>
        <v>EXECUTE [dbo].[PG_CI_SISTEMA_TAG] 139, 12, 'hide labels', '' , 12 , '#12 // hide labels' , 1,60</v>
      </c>
      <c r="L15" s="9"/>
    </row>
    <row r="16" spans="1:14" s="8" customFormat="1" x14ac:dyDescent="0.25">
      <c r="A16" s="16"/>
      <c r="B16" s="17">
        <v>139</v>
      </c>
      <c r="C16" s="22">
        <v>13</v>
      </c>
      <c r="D16" s="18" t="s">
        <v>22</v>
      </c>
      <c r="E16" s="19"/>
      <c r="F16" s="23">
        <f t="shared" si="1"/>
        <v>13</v>
      </c>
      <c r="G16" s="25" t="str">
        <f t="shared" si="0"/>
        <v>#13 // ppms</v>
      </c>
      <c r="H16" s="21">
        <v>1</v>
      </c>
      <c r="I16" s="23">
        <v>10</v>
      </c>
      <c r="K16" s="20" t="str">
        <f>CONCATENATE(CI_!$N$1,C16,", '",D16,"', '",E16,"' , ",F16," , '",G16,"' , ",H16,",",I16)</f>
        <v>EXECUTE [dbo].[PG_CI_SISTEMA_TAG] 139, 13, 'ppms', '' , 13 , '#13 // ppms' , 1,10</v>
      </c>
      <c r="L16" s="9"/>
    </row>
    <row r="17" spans="1:12" s="8" customFormat="1" x14ac:dyDescent="0.25">
      <c r="A17" s="16"/>
      <c r="B17" s="17">
        <v>139</v>
      </c>
      <c r="C17" s="22">
        <v>14</v>
      </c>
      <c r="D17" s="18" t="s">
        <v>23</v>
      </c>
      <c r="E17" s="19"/>
      <c r="F17" s="23">
        <f t="shared" si="1"/>
        <v>14</v>
      </c>
      <c r="G17" s="25" t="str">
        <f t="shared" si="0"/>
        <v>#14 // load release</v>
      </c>
      <c r="H17" s="21">
        <v>1</v>
      </c>
      <c r="I17" s="23">
        <v>60</v>
      </c>
      <c r="K17" s="20" t="str">
        <f>CONCATENATE(CI_!$N$1,C17,", '",D17,"', '",E17,"' , ",F17," , '",G17,"' , ",H17,",",I17)</f>
        <v>EXECUTE [dbo].[PG_CI_SISTEMA_TAG] 139, 14, 'load release', '' , 14 , '#14 // load release' , 1,60</v>
      </c>
      <c r="L17" s="9"/>
    </row>
    <row r="18" spans="1:12" s="8" customFormat="1" x14ac:dyDescent="0.25">
      <c r="A18" s="16"/>
      <c r="B18" s="17">
        <v>139</v>
      </c>
      <c r="C18" s="22">
        <v>15</v>
      </c>
      <c r="D18" s="18" t="s">
        <v>24</v>
      </c>
      <c r="E18" s="19"/>
      <c r="F18" s="23">
        <f t="shared" si="1"/>
        <v>15</v>
      </c>
      <c r="G18" s="25" t="str">
        <f t="shared" si="0"/>
        <v>#15 // edi weekly rpt</v>
      </c>
      <c r="H18" s="21">
        <v>1</v>
      </c>
      <c r="I18" s="23">
        <v>60</v>
      </c>
      <c r="K18" s="20" t="str">
        <f>CONCATENATE(CI_!$N$1,C18,", '",D18,"', '",E18,"' , ",F18," , '",G18,"' , ",H18,",",I18)</f>
        <v>EXECUTE [dbo].[PG_CI_SISTEMA_TAG] 139, 15, 'edi weekly rpt', '' , 15 , '#15 // edi weekly rpt' , 1,60</v>
      </c>
      <c r="L18" s="9"/>
    </row>
    <row r="19" spans="1:12" s="8" customFormat="1" x14ac:dyDescent="0.25">
      <c r="A19" s="16"/>
      <c r="B19" s="17">
        <v>139</v>
      </c>
      <c r="C19" s="22">
        <v>16</v>
      </c>
      <c r="D19" s="18" t="s">
        <v>25</v>
      </c>
      <c r="E19" s="19"/>
      <c r="F19" s="23">
        <f t="shared" si="1"/>
        <v>16</v>
      </c>
      <c r="G19" s="25" t="str">
        <f t="shared" si="0"/>
        <v>#16 // daily inventory</v>
      </c>
      <c r="H19" s="21">
        <v>1</v>
      </c>
      <c r="I19" s="23">
        <v>20</v>
      </c>
      <c r="K19" s="20" t="str">
        <f>CONCATENATE(CI_!$N$1,C19,", '",D19,"', '",E19,"' , ",F19," , '",G19,"' , ",H19,",",I19)</f>
        <v>EXECUTE [dbo].[PG_CI_SISTEMA_TAG] 139, 16, 'daily inventory', '' , 16 , '#16 // daily inventory' , 1,20</v>
      </c>
      <c r="L19" s="9"/>
    </row>
    <row r="20" spans="1:12" s="8" customFormat="1" x14ac:dyDescent="0.25">
      <c r="A20" s="16"/>
      <c r="B20" s="17">
        <v>139</v>
      </c>
      <c r="C20" s="22">
        <v>17</v>
      </c>
      <c r="D20" s="18" t="s">
        <v>26</v>
      </c>
      <c r="E20" s="19"/>
      <c r="F20" s="23">
        <f t="shared" si="1"/>
        <v>17</v>
      </c>
      <c r="G20" s="25" t="str">
        <f t="shared" si="0"/>
        <v>#17 // hides allocation</v>
      </c>
      <c r="H20" s="21">
        <v>1</v>
      </c>
      <c r="I20" s="23">
        <v>40</v>
      </c>
      <c r="K20" s="20" t="str">
        <f>CONCATENATE(CI_!$N$1,C20,", '",D20,"', '",E20,"' , ",F20," , '",G20,"' , ",H20,",",I20)</f>
        <v>EXECUTE [dbo].[PG_CI_SISTEMA_TAG] 139, 17, 'hides allocation', '' , 17 , '#17 // hides allocation' , 1,40</v>
      </c>
      <c r="L20" s="9"/>
    </row>
    <row r="21" spans="1:12" s="8" customFormat="1" x14ac:dyDescent="0.25">
      <c r="A21" s="16"/>
      <c r="B21" s="17">
        <v>139</v>
      </c>
      <c r="C21" s="22">
        <v>18</v>
      </c>
      <c r="D21" s="18" t="s">
        <v>27</v>
      </c>
      <c r="E21" s="19"/>
      <c r="F21" s="23">
        <f t="shared" si="1"/>
        <v>18</v>
      </c>
      <c r="G21" s="25" t="str">
        <f t="shared" si="0"/>
        <v>#18 // human resources</v>
      </c>
      <c r="H21" s="21">
        <v>1</v>
      </c>
      <c r="I21" s="23">
        <v>80</v>
      </c>
      <c r="K21" s="20" t="str">
        <f>CONCATENATE(CI_!$N$1,C21,", '",D21,"', '",E21,"' , ",F21," , '",G21,"' , ",H21,",",I21)</f>
        <v>EXECUTE [dbo].[PG_CI_SISTEMA_TAG] 139, 18, 'human resources', '' , 18 , '#18 // human resources' , 1,80</v>
      </c>
      <c r="L21" s="9"/>
    </row>
    <row r="22" spans="1:12" s="8" customFormat="1" x14ac:dyDescent="0.25">
      <c r="A22" s="16"/>
      <c r="B22" s="17">
        <v>139</v>
      </c>
      <c r="C22" s="22">
        <v>19</v>
      </c>
      <c r="D22" s="18" t="s">
        <v>28</v>
      </c>
      <c r="E22" s="19"/>
      <c r="F22" s="23">
        <f t="shared" si="1"/>
        <v>19</v>
      </c>
      <c r="G22" s="25" t="str">
        <f t="shared" si="0"/>
        <v>#19 // stock status</v>
      </c>
      <c r="H22" s="21">
        <v>1</v>
      </c>
      <c r="I22" s="23">
        <v>40</v>
      </c>
      <c r="K22" s="20" t="str">
        <f>CONCATENATE(CI_!$N$1,C22,", '",D22,"', '",E22,"' , ",F22," , '",G22,"' , ",H22,",",I22)</f>
        <v>EXECUTE [dbo].[PG_CI_SISTEMA_TAG] 139, 19, 'stock status', '' , 19 , '#19 // stock status' , 1,40</v>
      </c>
      <c r="L22" s="9"/>
    </row>
    <row r="23" spans="1:12" s="8" customFormat="1" x14ac:dyDescent="0.25">
      <c r="A23" s="16"/>
      <c r="B23" s="17">
        <v>139</v>
      </c>
      <c r="C23" s="22">
        <v>20</v>
      </c>
      <c r="D23" s="18" t="s">
        <v>29</v>
      </c>
      <c r="E23" s="19"/>
      <c r="F23" s="23">
        <f t="shared" si="1"/>
        <v>20</v>
      </c>
      <c r="G23" s="25" t="str">
        <f t="shared" si="0"/>
        <v>#20 // excel production report</v>
      </c>
      <c r="H23" s="21">
        <v>1</v>
      </c>
      <c r="I23" s="23">
        <v>70</v>
      </c>
      <c r="K23" s="20" t="str">
        <f>CONCATENATE(CI_!$N$1,C23,", '",D23,"', '",E23,"' , ",F23," , '",G23,"' , ",H23,",",I23)</f>
        <v>EXECUTE [dbo].[PG_CI_SISTEMA_TAG] 139, 20, 'excel production report', '' , 20 , '#20 // excel production report' , 1,70</v>
      </c>
      <c r="L23" s="9"/>
    </row>
    <row r="24" spans="1:12" s="8" customFormat="1" x14ac:dyDescent="0.25">
      <c r="A24" s="16"/>
      <c r="B24" s="17">
        <v>139</v>
      </c>
      <c r="C24" s="22">
        <v>21</v>
      </c>
      <c r="D24" s="18" t="s">
        <v>30</v>
      </c>
      <c r="E24" s="19"/>
      <c r="F24" s="23">
        <f t="shared" si="1"/>
        <v>21</v>
      </c>
      <c r="G24" s="25" t="str">
        <f t="shared" si="0"/>
        <v>#21 // bell curve</v>
      </c>
      <c r="H24" s="21">
        <v>1</v>
      </c>
      <c r="I24" s="23">
        <v>40</v>
      </c>
      <c r="K24" s="20" t="str">
        <f>CONCATENATE(CI_!$N$1,C24,", '",D24,"', '",E24,"' , ",F24," , '",G24,"' , ",H24,",",I24)</f>
        <v>EXECUTE [dbo].[PG_CI_SISTEMA_TAG] 139, 21, 'bell curve', '' , 21 , '#21 // bell curve' , 1,40</v>
      </c>
      <c r="L24" s="9"/>
    </row>
    <row r="25" spans="1:12" s="8" customFormat="1" x14ac:dyDescent="0.25">
      <c r="A25" s="16"/>
      <c r="B25" s="17">
        <v>139</v>
      </c>
      <c r="C25" s="22">
        <v>22</v>
      </c>
      <c r="D25" s="18" t="s">
        <v>31</v>
      </c>
      <c r="E25" s="19"/>
      <c r="F25" s="23">
        <f t="shared" si="1"/>
        <v>22</v>
      </c>
      <c r="G25" s="25" t="str">
        <f t="shared" si="0"/>
        <v>#22 // transaction report</v>
      </c>
      <c r="H25" s="21">
        <v>1</v>
      </c>
      <c r="I25" s="23">
        <v>60</v>
      </c>
      <c r="K25" s="20" t="str">
        <f>CONCATENATE(CI_!$N$1,C25,", '",D25,"', '",E25,"' , ",F25," , '",G25,"' , ",H25,",",I25)</f>
        <v>EXECUTE [dbo].[PG_CI_SISTEMA_TAG] 139, 22, 'transaction report', '' , 22 , '#22 // transaction report' , 1,60</v>
      </c>
      <c r="L25" s="9"/>
    </row>
    <row r="26" spans="1:12" s="8" customFormat="1" x14ac:dyDescent="0.25">
      <c r="A26" s="16"/>
      <c r="B26" s="17">
        <v>139</v>
      </c>
      <c r="C26" s="22">
        <v>23</v>
      </c>
      <c r="D26" s="18" t="s">
        <v>32</v>
      </c>
      <c r="E26" s="19"/>
      <c r="F26" s="23">
        <f t="shared" si="1"/>
        <v>23</v>
      </c>
      <c r="G26" s="25" t="str">
        <f t="shared" si="0"/>
        <v>#23 // certification report</v>
      </c>
      <c r="H26" s="21">
        <v>1</v>
      </c>
      <c r="I26" s="23">
        <v>10</v>
      </c>
      <c r="K26" s="20" t="str">
        <f>CONCATENATE(CI_!$N$1,C26,", '",D26,"', '",E26,"' , ",F26," , '",G26,"' , ",H26,",",I26)</f>
        <v>EXECUTE [dbo].[PG_CI_SISTEMA_TAG] 139, 23, 'certification report', '' , 23 , '#23 // certification report' , 1,10</v>
      </c>
      <c r="L26" s="9"/>
    </row>
    <row r="27" spans="1:12" s="8" customFormat="1" x14ac:dyDescent="0.25">
      <c r="A27" s="16"/>
      <c r="B27" s="17">
        <v>139</v>
      </c>
      <c r="C27" s="22">
        <v>24</v>
      </c>
      <c r="D27" s="18" t="s">
        <v>33</v>
      </c>
      <c r="E27" s="19"/>
      <c r="F27" s="23">
        <f t="shared" si="1"/>
        <v>24</v>
      </c>
      <c r="G27" s="25" t="str">
        <f t="shared" si="0"/>
        <v>#24 // folios inventory</v>
      </c>
      <c r="H27" s="21">
        <v>1</v>
      </c>
      <c r="I27" s="23">
        <v>60</v>
      </c>
      <c r="K27" s="20" t="str">
        <f>CONCATENATE(CI_!$N$1,C27,", '",D27,"', '",E27,"' , ",F27," , '",G27,"' , ",H27,",",I27)</f>
        <v>EXECUTE [dbo].[PG_CI_SISTEMA_TAG] 139, 24, 'folios inventory', '' , 24 , '#24 // folios inventory' , 1,60</v>
      </c>
      <c r="L27" s="9"/>
    </row>
    <row r="28" spans="1:12" s="8" customFormat="1" x14ac:dyDescent="0.25">
      <c r="A28" s="16"/>
      <c r="B28" s="17">
        <v>139</v>
      </c>
      <c r="C28" s="22">
        <v>25</v>
      </c>
      <c r="D28" s="18" t="s">
        <v>34</v>
      </c>
      <c r="E28" s="19"/>
      <c r="F28" s="23">
        <f t="shared" si="1"/>
        <v>25</v>
      </c>
      <c r="G28" s="25" t="str">
        <f t="shared" si="0"/>
        <v>#25 // quality rejects</v>
      </c>
      <c r="H28" s="21">
        <v>1</v>
      </c>
      <c r="I28" s="23">
        <v>10</v>
      </c>
      <c r="K28" s="20" t="str">
        <f>CONCATENATE(CI_!$N$1,C28,", '",D28,"', '",E28,"' , ",F28," , '",G28,"' , ",H28,",",I28)</f>
        <v>EXECUTE [dbo].[PG_CI_SISTEMA_TAG] 139, 25, 'quality rejects', '' , 25 , '#25 // quality rejects' , 1,10</v>
      </c>
      <c r="L28" s="9"/>
    </row>
    <row r="29" spans="1:12" s="8" customFormat="1" x14ac:dyDescent="0.25">
      <c r="A29" s="16"/>
      <c r="B29" s="17">
        <v>139</v>
      </c>
      <c r="C29" s="22">
        <v>26</v>
      </c>
      <c r="D29" s="18" t="s">
        <v>35</v>
      </c>
      <c r="E29" s="19"/>
      <c r="F29" s="23">
        <f t="shared" si="1"/>
        <v>26</v>
      </c>
      <c r="G29" s="25" t="str">
        <f t="shared" si="0"/>
        <v>#26 // packing macola</v>
      </c>
      <c r="H29" s="21">
        <v>1</v>
      </c>
      <c r="I29" s="23">
        <v>20</v>
      </c>
      <c r="K29" s="20" t="str">
        <f>CONCATENATE(CI_!$N$1,C29,", '",D29,"', '",E29,"' , ",F29," , '",G29,"' , ",H29,",",I29)</f>
        <v>EXECUTE [dbo].[PG_CI_SISTEMA_TAG] 139, 26, 'packing macola', '' , 26 , '#26 // packing macola' , 1,20</v>
      </c>
      <c r="L29" s="9"/>
    </row>
    <row r="30" spans="1:12" s="8" customFormat="1" x14ac:dyDescent="0.25">
      <c r="A30" s="16"/>
      <c r="B30" s="17">
        <v>139</v>
      </c>
      <c r="C30" s="22">
        <v>27</v>
      </c>
      <c r="D30" s="18" t="s">
        <v>36</v>
      </c>
      <c r="E30" s="19"/>
      <c r="F30" s="23">
        <f t="shared" si="1"/>
        <v>27</v>
      </c>
      <c r="G30" s="25" t="str">
        <f t="shared" si="0"/>
        <v>#27 // tags</v>
      </c>
      <c r="H30" s="21">
        <v>1</v>
      </c>
      <c r="I30" s="23">
        <v>30</v>
      </c>
      <c r="K30" s="20" t="str">
        <f>CONCATENATE(CI_!$N$1,C30,", '",D30,"', '",E30,"' , ",F30," , '",G30,"' , ",H30,",",I30)</f>
        <v>EXECUTE [dbo].[PG_CI_SISTEMA_TAG] 139, 27, 'tags', '' , 27 , '#27 // tags' , 1,30</v>
      </c>
      <c r="L30" s="9"/>
    </row>
    <row r="31" spans="1:12" s="8" customFormat="1" x14ac:dyDescent="0.25">
      <c r="A31" s="16"/>
      <c r="B31" s="17">
        <v>139</v>
      </c>
      <c r="C31" s="22">
        <v>28</v>
      </c>
      <c r="D31" s="18" t="s">
        <v>37</v>
      </c>
      <c r="E31" s="19"/>
      <c r="F31" s="23">
        <f t="shared" si="1"/>
        <v>28</v>
      </c>
      <c r="G31" s="25" t="str">
        <f t="shared" si="0"/>
        <v>#28 // sales by cust</v>
      </c>
      <c r="H31" s="21">
        <v>1</v>
      </c>
      <c r="I31" s="23">
        <v>30</v>
      </c>
      <c r="K31" s="20" t="str">
        <f>CONCATENATE(CI_!$N$1,C31,", '",D31,"', '",E31,"' , ",F31," , '",G31,"' , ",H31,",",I31)</f>
        <v>EXECUTE [dbo].[PG_CI_SISTEMA_TAG] 139, 28, 'sales by cust', '' , 28 , '#28 // sales by cust' , 1,30</v>
      </c>
      <c r="L31" s="9"/>
    </row>
    <row r="32" spans="1:12" s="8" customFormat="1" x14ac:dyDescent="0.25">
      <c r="A32" s="16"/>
      <c r="B32" s="17">
        <v>139</v>
      </c>
      <c r="C32" s="22">
        <v>29</v>
      </c>
      <c r="D32" s="18" t="s">
        <v>38</v>
      </c>
      <c r="E32" s="19"/>
      <c r="F32" s="23">
        <f t="shared" si="1"/>
        <v>29</v>
      </c>
      <c r="G32" s="25" t="str">
        <f t="shared" si="0"/>
        <v>#29 // poliza de nomina</v>
      </c>
      <c r="H32" s="21">
        <v>1</v>
      </c>
      <c r="I32" s="23">
        <v>30</v>
      </c>
      <c r="K32" s="20" t="str">
        <f>CONCATENATE(CI_!$N$1,C32,", '",D32,"', '",E32,"' , ",F32," , '",G32,"' , ",H32,",",I32)</f>
        <v>EXECUTE [dbo].[PG_CI_SISTEMA_TAG] 139, 29, 'poliza de nomina', '' , 29 , '#29 // poliza de nomina' , 1,30</v>
      </c>
      <c r="L32" s="9"/>
    </row>
    <row r="33" spans="1:12" s="8" customFormat="1" x14ac:dyDescent="0.25">
      <c r="A33" s="16"/>
      <c r="B33" s="17">
        <v>139</v>
      </c>
      <c r="C33" s="22">
        <v>30</v>
      </c>
      <c r="D33" s="18" t="s">
        <v>39</v>
      </c>
      <c r="E33" s="19"/>
      <c r="F33" s="23">
        <f t="shared" si="1"/>
        <v>30</v>
      </c>
      <c r="G33" s="25" t="str">
        <f t="shared" si="0"/>
        <v>#30 // history by job no</v>
      </c>
      <c r="H33" s="21">
        <v>1</v>
      </c>
      <c r="I33" s="23">
        <v>60</v>
      </c>
      <c r="K33" s="20" t="str">
        <f>CONCATENATE(CI_!$N$1,C33,", '",D33,"', '",E33,"' , ",F33," , '",G33,"' , ",H33,",",I33)</f>
        <v>EXECUTE [dbo].[PG_CI_SISTEMA_TAG] 139, 30, 'history by job no', '' , 30 , '#30 // history by job no' , 1,60</v>
      </c>
      <c r="L33" s="9"/>
    </row>
    <row r="34" spans="1:12" s="8" customFormat="1" x14ac:dyDescent="0.25">
      <c r="A34" s="16"/>
      <c r="B34" s="17">
        <v>139</v>
      </c>
      <c r="C34" s="22">
        <v>31</v>
      </c>
      <c r="D34" s="18" t="s">
        <v>40</v>
      </c>
      <c r="E34" s="19"/>
      <c r="F34" s="23">
        <f t="shared" si="1"/>
        <v>31</v>
      </c>
      <c r="G34" s="25" t="str">
        <f t="shared" si="0"/>
        <v>#31 // pattern labels</v>
      </c>
      <c r="H34" s="21">
        <v>1</v>
      </c>
      <c r="I34" s="23">
        <v>90</v>
      </c>
      <c r="K34" s="20" t="str">
        <f>CONCATENATE(CI_!$N$1,C34,", '",D34,"', '",E34,"' , ",F34," , '",G34,"' , ",H34,",",I34)</f>
        <v>EXECUTE [dbo].[PG_CI_SISTEMA_TAG] 139, 31, 'pattern labels', '' , 31 , '#31 // pattern labels' , 1,90</v>
      </c>
      <c r="L34" s="9"/>
    </row>
    <row r="35" spans="1:12" s="8" customFormat="1" x14ac:dyDescent="0.25">
      <c r="A35" s="16"/>
      <c r="B35" s="17">
        <v>139</v>
      </c>
      <c r="C35" s="22">
        <v>32</v>
      </c>
      <c r="D35" s="18" t="s">
        <v>41</v>
      </c>
      <c r="E35" s="19"/>
      <c r="F35" s="23">
        <f t="shared" si="1"/>
        <v>32</v>
      </c>
      <c r="G35" s="25" t="str">
        <f t="shared" si="0"/>
        <v>#32 // cumulative report</v>
      </c>
      <c r="H35" s="21">
        <v>1</v>
      </c>
      <c r="I35" s="23">
        <v>60</v>
      </c>
      <c r="K35" s="20" t="str">
        <f>CONCATENATE(CI_!$N$1,C35,", '",D35,"', '",E35,"' , ",F35," , '",G35,"' , ",H35,",",I35)</f>
        <v>EXECUTE [dbo].[PG_CI_SISTEMA_TAG] 139, 32, 'cumulative report', '' , 32 , '#32 // cumulative report' , 1,60</v>
      </c>
      <c r="L35" s="9"/>
    </row>
    <row r="36" spans="1:12" s="8" customFormat="1" x14ac:dyDescent="0.25">
      <c r="A36" s="16"/>
      <c r="B36" s="17">
        <v>139</v>
      </c>
      <c r="C36" s="22">
        <v>33</v>
      </c>
      <c r="D36" s="18" t="s">
        <v>42</v>
      </c>
      <c r="E36" s="19"/>
      <c r="F36" s="23">
        <f t="shared" si="1"/>
        <v>33</v>
      </c>
      <c r="G36" s="25" t="str">
        <f t="shared" si="0"/>
        <v>#33 // incoming inspection</v>
      </c>
      <c r="H36" s="21">
        <v>1</v>
      </c>
      <c r="I36" s="23">
        <v>10</v>
      </c>
      <c r="K36" s="20" t="str">
        <f>CONCATENATE(CI_!$N$1,C36,", '",D36,"', '",E36,"' , ",F36," , '",G36,"' , ",H36,",",I36)</f>
        <v>EXECUTE [dbo].[PG_CI_SISTEMA_TAG] 139, 33, 'incoming inspection', '' , 33 , '#33 // incoming inspection' , 1,10</v>
      </c>
      <c r="L36" s="9"/>
    </row>
    <row r="37" spans="1:12" s="8" customFormat="1" x14ac:dyDescent="0.25">
      <c r="A37" s="16"/>
      <c r="B37" s="17">
        <v>139</v>
      </c>
      <c r="C37" s="22">
        <v>34</v>
      </c>
      <c r="D37" s="18" t="s">
        <v>43</v>
      </c>
      <c r="E37" s="19"/>
      <c r="F37" s="23">
        <f t="shared" si="1"/>
        <v>34</v>
      </c>
      <c r="G37" s="25" t="str">
        <f t="shared" si="0"/>
        <v>#34 // status de ordenes</v>
      </c>
      <c r="H37" s="21">
        <v>1</v>
      </c>
      <c r="I37" s="23">
        <v>10</v>
      </c>
      <c r="K37" s="20" t="str">
        <f>CONCATENATE(CI_!$N$1,C37,", '",D37,"', '",E37,"' , ",F37," , '",G37,"' , ",H37,",",I37)</f>
        <v>EXECUTE [dbo].[PG_CI_SISTEMA_TAG] 139, 34, 'status de ordenes', '' , 34 , '#34 // status de ordenes' , 1,10</v>
      </c>
      <c r="L37" s="9"/>
    </row>
    <row r="38" spans="1:12" s="8" customFormat="1" x14ac:dyDescent="0.25">
      <c r="A38" s="16"/>
      <c r="B38" s="17">
        <v>139</v>
      </c>
      <c r="C38" s="22">
        <v>35</v>
      </c>
      <c r="D38" s="18" t="s">
        <v>44</v>
      </c>
      <c r="E38" s="19"/>
      <c r="F38" s="23">
        <f t="shared" si="1"/>
        <v>35</v>
      </c>
      <c r="G38" s="25" t="str">
        <f t="shared" si="0"/>
        <v>#35 // colors mant</v>
      </c>
      <c r="H38" s="21">
        <v>1</v>
      </c>
      <c r="I38" s="23">
        <v>50</v>
      </c>
      <c r="K38" s="20" t="str">
        <f>CONCATENATE(CI_!$N$1,C38,", '",D38,"', '",E38,"' , ",F38," , '",G38,"' , ",H38,",",I38)</f>
        <v>EXECUTE [dbo].[PG_CI_SISTEMA_TAG] 139, 35, 'colors mant', '' , 35 , '#35 // colors mant' , 1,50</v>
      </c>
      <c r="L38" s="9"/>
    </row>
    <row r="39" spans="1:12" s="8" customFormat="1" x14ac:dyDescent="0.25">
      <c r="A39" s="16"/>
      <c r="B39" s="17">
        <v>139</v>
      </c>
      <c r="C39" s="22">
        <v>36</v>
      </c>
      <c r="D39" s="18" t="s">
        <v>45</v>
      </c>
      <c r="E39" s="19"/>
      <c r="F39" s="23">
        <f t="shared" si="1"/>
        <v>36</v>
      </c>
      <c r="G39" s="25" t="str">
        <f t="shared" si="0"/>
        <v>#36 // update target</v>
      </c>
      <c r="H39" s="21">
        <v>1</v>
      </c>
      <c r="I39" s="23">
        <v>40</v>
      </c>
      <c r="K39" s="20" t="str">
        <f>CONCATENATE(CI_!$N$1,C39,", '",D39,"', '",E39,"' , ",F39," , '",G39,"' , ",H39,",",I39)</f>
        <v>EXECUTE [dbo].[PG_CI_SISTEMA_TAG] 139, 36, 'update target', '' , 36 , '#36 // update target' , 1,40</v>
      </c>
      <c r="L39" s="9"/>
    </row>
    <row r="40" spans="1:12" s="8" customFormat="1" x14ac:dyDescent="0.25">
      <c r="A40" s="16"/>
      <c r="B40" s="17">
        <v>139</v>
      </c>
      <c r="C40" s="22">
        <v>37</v>
      </c>
      <c r="D40" s="18" t="s">
        <v>46</v>
      </c>
      <c r="E40" s="19"/>
      <c r="F40" s="23">
        <f t="shared" si="1"/>
        <v>37</v>
      </c>
      <c r="G40" s="25" t="str">
        <f t="shared" si="0"/>
        <v>#37 // lot comp</v>
      </c>
      <c r="H40" s="21">
        <v>1</v>
      </c>
      <c r="I40" s="23">
        <v>10</v>
      </c>
      <c r="K40" s="20" t="str">
        <f>CONCATENATE(CI_!$N$1,C40,", '",D40,"', '",E40,"' , ",F40," , '",G40,"' , ",H40,",",I40)</f>
        <v>EXECUTE [dbo].[PG_CI_SISTEMA_TAG] 139, 37, 'lot comp', '' , 37 , '#37 // lot comp' , 1,10</v>
      </c>
      <c r="L40" s="9"/>
    </row>
    <row r="41" spans="1:12" s="8" customFormat="1" x14ac:dyDescent="0.25">
      <c r="A41" s="16"/>
      <c r="B41" s="17">
        <v>139</v>
      </c>
      <c r="C41" s="22">
        <v>38</v>
      </c>
      <c r="D41" s="18" t="s">
        <v>47</v>
      </c>
      <c r="E41" s="19"/>
      <c r="F41" s="23">
        <f t="shared" si="1"/>
        <v>38</v>
      </c>
      <c r="G41" s="25" t="str">
        <f t="shared" si="0"/>
        <v>#38 // engineering screen</v>
      </c>
      <c r="H41" s="21">
        <v>1</v>
      </c>
      <c r="I41" s="23">
        <v>50</v>
      </c>
      <c r="K41" s="20" t="str">
        <f>CONCATENATE(CI_!$N$1,C41,", '",D41,"', '",E41,"' , ",F41," , '",G41,"' , ",H41,",",I41)</f>
        <v>EXECUTE [dbo].[PG_CI_SISTEMA_TAG] 139, 38, 'engineering screen', '' , 38 , '#38 // engineering screen' , 1,50</v>
      </c>
      <c r="L41" s="9"/>
    </row>
    <row r="42" spans="1:12" s="8" customFormat="1" x14ac:dyDescent="0.25">
      <c r="A42" s="16"/>
      <c r="B42" s="17">
        <v>139</v>
      </c>
      <c r="C42" s="22">
        <v>39</v>
      </c>
      <c r="D42" s="18" t="s">
        <v>48</v>
      </c>
      <c r="E42" s="19"/>
      <c r="F42" s="23">
        <f t="shared" si="1"/>
        <v>39</v>
      </c>
      <c r="G42" s="25" t="str">
        <f t="shared" si="0"/>
        <v>#39 // prod category</v>
      </c>
      <c r="H42" s="21">
        <v>1</v>
      </c>
      <c r="I42" s="23">
        <v>50</v>
      </c>
      <c r="K42" s="20" t="str">
        <f>CONCATENATE(CI_!$N$1,C42,", '",D42,"', '",E42,"' , ",F42," , '",G42,"' , ",H42,",",I42)</f>
        <v>EXECUTE [dbo].[PG_CI_SISTEMA_TAG] 139, 39, 'prod category', '' , 39 , '#39 // prod category' , 1,50</v>
      </c>
      <c r="L42" s="9"/>
    </row>
    <row r="43" spans="1:12" s="8" customFormat="1" x14ac:dyDescent="0.25">
      <c r="A43" s="16"/>
      <c r="B43" s="17">
        <v>139</v>
      </c>
      <c r="C43" s="22">
        <v>40</v>
      </c>
      <c r="D43" s="18" t="s">
        <v>49</v>
      </c>
      <c r="E43" s="19"/>
      <c r="F43" s="23">
        <f t="shared" si="1"/>
        <v>40</v>
      </c>
      <c r="G43" s="25" t="str">
        <f t="shared" si="0"/>
        <v>#40 // item master</v>
      </c>
      <c r="H43" s="21">
        <v>1</v>
      </c>
      <c r="I43" s="23">
        <v>50</v>
      </c>
      <c r="K43" s="20" t="str">
        <f>CONCATENATE(CI_!$N$1,C43,", '",D43,"', '",E43,"' , ",F43," , '",G43,"' , ",H43,",",I43)</f>
        <v>EXECUTE [dbo].[PG_CI_SISTEMA_TAG] 139, 40, 'item master', '' , 40 , '#40 // item master' , 1,50</v>
      </c>
      <c r="L43" s="9"/>
    </row>
    <row r="44" spans="1:12" s="8" customFormat="1" x14ac:dyDescent="0.25">
      <c r="A44" s="16"/>
      <c r="B44" s="17">
        <v>139</v>
      </c>
      <c r="C44" s="22">
        <v>41</v>
      </c>
      <c r="D44" s="18" t="s">
        <v>50</v>
      </c>
      <c r="E44" s="19"/>
      <c r="F44" s="23">
        <f t="shared" si="1"/>
        <v>41</v>
      </c>
      <c r="G44" s="25" t="str">
        <f t="shared" si="0"/>
        <v>#41 // kit master</v>
      </c>
      <c r="H44" s="21">
        <v>1</v>
      </c>
      <c r="I44" s="23">
        <v>50</v>
      </c>
      <c r="K44" s="20" t="str">
        <f>CONCATENATE(CI_!$N$1,C44,", '",D44,"', '",E44,"' , ",F44," , '",G44,"' , ",H44,",",I44)</f>
        <v>EXECUTE [dbo].[PG_CI_SISTEMA_TAG] 139, 41, 'kit master', '' , 41 , '#41 // kit master' , 1,50</v>
      </c>
      <c r="L44" s="9"/>
    </row>
    <row r="45" spans="1:12" s="8" customFormat="1" x14ac:dyDescent="0.25">
      <c r="A45" s="16"/>
      <c r="B45" s="17">
        <v>139</v>
      </c>
      <c r="C45" s="22">
        <v>42</v>
      </c>
      <c r="D45" s="18" t="s">
        <v>51</v>
      </c>
      <c r="E45" s="19"/>
      <c r="F45" s="23">
        <f t="shared" si="1"/>
        <v>42</v>
      </c>
      <c r="G45" s="25" t="str">
        <f t="shared" si="0"/>
        <v>#42 // add location</v>
      </c>
      <c r="H45" s="21">
        <v>1</v>
      </c>
      <c r="I45" s="23">
        <v>40</v>
      </c>
      <c r="K45" s="20" t="str">
        <f>CONCATENATE(CI_!$N$1,C45,", '",D45,"', '",E45,"' , ",F45," , '",G45,"' , ",H45,",",I45)</f>
        <v>EXECUTE [dbo].[PG_CI_SISTEMA_TAG] 139, 42, 'add location', '' , 42 , '#42 // add location' , 1,40</v>
      </c>
      <c r="L45" s="9"/>
    </row>
    <row r="46" spans="1:12" s="8" customFormat="1" x14ac:dyDescent="0.25">
      <c r="A46" s="16"/>
      <c r="B46" s="17">
        <v>139</v>
      </c>
      <c r="C46" s="22">
        <v>43</v>
      </c>
      <c r="D46" s="18" t="s">
        <v>52</v>
      </c>
      <c r="E46" s="19"/>
      <c r="F46" s="23">
        <f t="shared" si="1"/>
        <v>43</v>
      </c>
      <c r="G46" s="25" t="str">
        <f t="shared" si="0"/>
        <v>#43 // billing</v>
      </c>
      <c r="H46" s="21">
        <v>1</v>
      </c>
      <c r="I46" s="23">
        <v>20</v>
      </c>
      <c r="K46" s="20" t="str">
        <f>CONCATENATE(CI_!$N$1,C46,", '",D46,"', '",E46,"' , ",F46," , '",G46,"' , ",H46,",",I46)</f>
        <v>EXECUTE [dbo].[PG_CI_SISTEMA_TAG] 139, 43, 'billing', '' , 43 , '#43 // billing' , 1,20</v>
      </c>
      <c r="L46" s="9"/>
    </row>
    <row r="47" spans="1:12" s="8" customFormat="1" x14ac:dyDescent="0.25">
      <c r="A47" s="16"/>
      <c r="B47" s="17">
        <v>139</v>
      </c>
      <c r="C47" s="22">
        <v>44</v>
      </c>
      <c r="D47" s="18" t="s">
        <v>53</v>
      </c>
      <c r="E47" s="19"/>
      <c r="F47" s="23">
        <f t="shared" si="1"/>
        <v>44</v>
      </c>
      <c r="G47" s="25" t="str">
        <f t="shared" si="0"/>
        <v>#44 // trans folios</v>
      </c>
      <c r="H47" s="21">
        <v>1</v>
      </c>
      <c r="I47" s="23">
        <v>60</v>
      </c>
      <c r="K47" s="20" t="str">
        <f>CONCATENATE(CI_!$N$1,C47,", '",D47,"', '",E47,"' , ",F47," , '",G47,"' , ",H47,",",I47)</f>
        <v>EXECUTE [dbo].[PG_CI_SISTEMA_TAG] 139, 44, 'trans folios', '' , 44 , '#44 // trans folios' , 1,60</v>
      </c>
      <c r="L47" s="9"/>
    </row>
    <row r="48" spans="1:12" s="8" customFormat="1" x14ac:dyDescent="0.25">
      <c r="A48" s="16"/>
      <c r="B48" s="17">
        <v>139</v>
      </c>
      <c r="C48" s="22">
        <v>45</v>
      </c>
      <c r="D48" s="18" t="s">
        <v>54</v>
      </c>
      <c r="E48" s="19"/>
      <c r="F48" s="23">
        <f t="shared" si="1"/>
        <v>45</v>
      </c>
      <c r="G48" s="25" t="str">
        <f t="shared" si="0"/>
        <v>#45 // re-print invoice</v>
      </c>
      <c r="H48" s="21">
        <v>1</v>
      </c>
      <c r="I48" s="23">
        <v>20</v>
      </c>
      <c r="K48" s="20" t="str">
        <f>CONCATENATE(CI_!$N$1,C48,", '",D48,"', '",E48,"' , ",F48," , '",G48,"' , ",H48,",",I48)</f>
        <v>EXECUTE [dbo].[PG_CI_SISTEMA_TAG] 139, 45, 're-print invoice', '' , 45 , '#45 // re-print invoice' , 1,20</v>
      </c>
      <c r="L48" s="9"/>
    </row>
    <row r="49" spans="1:12" s="8" customFormat="1" x14ac:dyDescent="0.25">
      <c r="A49" s="16"/>
      <c r="B49" s="17">
        <v>139</v>
      </c>
      <c r="C49" s="22">
        <v>46</v>
      </c>
      <c r="D49" s="18" t="s">
        <v>55</v>
      </c>
      <c r="E49" s="19"/>
      <c r="F49" s="23">
        <f t="shared" si="1"/>
        <v>46</v>
      </c>
      <c r="G49" s="25" t="str">
        <f t="shared" si="0"/>
        <v>#46 // cum report</v>
      </c>
      <c r="H49" s="21">
        <v>1</v>
      </c>
      <c r="I49" s="23">
        <v>60</v>
      </c>
      <c r="K49" s="20" t="str">
        <f>CONCATENATE(CI_!$N$1,C49,", '",D49,"', '",E49,"' , ",F49," , '",G49,"' , ",H49,",",I49)</f>
        <v>EXECUTE [dbo].[PG_CI_SISTEMA_TAG] 139, 46, 'cum report', '' , 46 , '#46 // cum report' , 1,60</v>
      </c>
      <c r="L49" s="9"/>
    </row>
    <row r="50" spans="1:12" s="8" customFormat="1" x14ac:dyDescent="0.25">
      <c r="A50" s="16"/>
      <c r="B50" s="17">
        <v>139</v>
      </c>
      <c r="C50" s="22">
        <v>47</v>
      </c>
      <c r="D50" s="18" t="s">
        <v>56</v>
      </c>
      <c r="E50" s="19"/>
      <c r="F50" s="23">
        <f t="shared" si="1"/>
        <v>47</v>
      </c>
      <c r="G50" s="25" t="str">
        <f t="shared" si="0"/>
        <v>#47 // reporte de defectos</v>
      </c>
      <c r="H50" s="21">
        <v>1</v>
      </c>
      <c r="I50" s="23">
        <v>70</v>
      </c>
      <c r="K50" s="20" t="str">
        <f>CONCATENATE(CI_!$N$1,C50,", '",D50,"', '",E50,"' , ",F50," , '",G50,"' , ",H50,",",I50)</f>
        <v>EXECUTE [dbo].[PG_CI_SISTEMA_TAG] 139, 47, 'reporte de defectos', '' , 47 , '#47 // reporte de defectos' , 1,70</v>
      </c>
      <c r="L50" s="9"/>
    </row>
    <row r="51" spans="1:12" s="8" customFormat="1" x14ac:dyDescent="0.25">
      <c r="A51" s="16"/>
      <c r="B51" s="17">
        <v>139</v>
      </c>
      <c r="C51" s="22">
        <v>48</v>
      </c>
      <c r="D51" s="18" t="s">
        <v>57</v>
      </c>
      <c r="E51" s="19"/>
      <c r="F51" s="23">
        <f t="shared" si="1"/>
        <v>48</v>
      </c>
      <c r="G51" s="25" t="str">
        <f t="shared" si="0"/>
        <v>#48 // lot yield</v>
      </c>
      <c r="H51" s="21">
        <v>1</v>
      </c>
      <c r="I51" s="23">
        <v>70</v>
      </c>
      <c r="K51" s="20" t="str">
        <f>CONCATENATE(CI_!$N$1,C51,", '",D51,"', '",E51,"' , ",F51," , '",G51,"' , ",H51,",",I51)</f>
        <v>EXECUTE [dbo].[PG_CI_SISTEMA_TAG] 139, 48, 'lot yield', '' , 48 , '#48 // lot yield' , 1,70</v>
      </c>
      <c r="L51" s="9"/>
    </row>
    <row r="52" spans="1:12" s="8" customFormat="1" x14ac:dyDescent="0.25">
      <c r="A52" s="16"/>
      <c r="B52" s="17">
        <v>139</v>
      </c>
      <c r="C52" s="22">
        <v>49</v>
      </c>
      <c r="D52" s="18" t="s">
        <v>58</v>
      </c>
      <c r="E52" s="19"/>
      <c r="F52" s="23">
        <f t="shared" si="1"/>
        <v>49</v>
      </c>
      <c r="G52" s="25" t="str">
        <f t="shared" si="0"/>
        <v>#49 // lot track</v>
      </c>
      <c r="H52" s="21">
        <v>1</v>
      </c>
      <c r="I52" s="23">
        <v>40</v>
      </c>
      <c r="K52" s="20" t="str">
        <f>CONCATENATE(CI_!$N$1,C52,", '",D52,"', '",E52,"' , ",F52," , '",G52,"' , ",H52,",",I52)</f>
        <v>EXECUTE [dbo].[PG_CI_SISTEMA_TAG] 139, 49, 'lot track', '' , 49 , '#49 // lot track' , 1,40</v>
      </c>
      <c r="L52" s="9"/>
    </row>
    <row r="53" spans="1:12" s="8" customFormat="1" x14ac:dyDescent="0.25">
      <c r="A53" s="16"/>
      <c r="B53" s="17">
        <v>139</v>
      </c>
      <c r="C53" s="22">
        <v>50</v>
      </c>
      <c r="D53" s="18" t="s">
        <v>59</v>
      </c>
      <c r="E53" s="19"/>
      <c r="F53" s="23">
        <f t="shared" si="1"/>
        <v>50</v>
      </c>
      <c r="G53" s="25" t="str">
        <f t="shared" si="0"/>
        <v>#50 // salidas de inv</v>
      </c>
      <c r="H53" s="21">
        <v>1</v>
      </c>
      <c r="I53" s="23">
        <v>60</v>
      </c>
      <c r="K53" s="20" t="str">
        <f>CONCATENATE(CI_!$N$1,C53,", '",D53,"', '",E53,"' , ",F53," , '",G53,"' , ",H53,",",I53)</f>
        <v>EXECUTE [dbo].[PG_CI_SISTEMA_TAG] 139, 50, 'salidas de inv', '' , 50 , '#50 // salidas de inv' , 1,60</v>
      </c>
      <c r="L53" s="9"/>
    </row>
    <row r="54" spans="1:12" s="8" customFormat="1" x14ac:dyDescent="0.25">
      <c r="A54" s="16"/>
      <c r="B54" s="17">
        <v>139</v>
      </c>
      <c r="C54" s="22">
        <v>51</v>
      </c>
      <c r="D54" s="18" t="s">
        <v>60</v>
      </c>
      <c r="E54" s="19"/>
      <c r="F54" s="23">
        <f t="shared" si="1"/>
        <v>51</v>
      </c>
      <c r="G54" s="25" t="str">
        <f t="shared" si="0"/>
        <v>#51 // usuarios</v>
      </c>
      <c r="H54" s="21">
        <v>1</v>
      </c>
      <c r="I54" s="23">
        <v>90</v>
      </c>
      <c r="K54" s="20" t="str">
        <f>CONCATENATE(CI_!$N$1,C54,", '",D54,"', '",E54,"' , ",F54," , '",G54,"' , ",H54,",",I54)</f>
        <v>EXECUTE [dbo].[PG_CI_SISTEMA_TAG] 139, 51, 'usuarios', '' , 51 , '#51 // usuarios' , 1,90</v>
      </c>
      <c r="L54" s="9"/>
    </row>
    <row r="55" spans="1:12" s="8" customFormat="1" x14ac:dyDescent="0.25">
      <c r="A55" s="16"/>
      <c r="B55" s="17">
        <v>139</v>
      </c>
      <c r="C55" s="22">
        <v>52</v>
      </c>
      <c r="D55" s="18" t="s">
        <v>61</v>
      </c>
      <c r="E55" s="19"/>
      <c r="F55" s="23">
        <f t="shared" si="1"/>
        <v>52</v>
      </c>
      <c r="G55" s="25" t="str">
        <f t="shared" si="0"/>
        <v>#52 // mtto preventivo</v>
      </c>
      <c r="H55" s="21">
        <v>1</v>
      </c>
      <c r="I55" s="23">
        <v>90</v>
      </c>
      <c r="K55" s="20" t="str">
        <f>CONCATENATE(CI_!$N$1,C55,", '",D55,"', '",E55,"' , ",F55," , '",G55,"' , ",H55,",",I55)</f>
        <v>EXECUTE [dbo].[PG_CI_SISTEMA_TAG] 139, 52, 'mtto preventivo', '' , 52 , '#52 // mtto preventivo' , 1,90</v>
      </c>
      <c r="L55" s="9"/>
    </row>
    <row r="56" spans="1:12" s="8" customFormat="1" x14ac:dyDescent="0.25">
      <c r="A56" s="16"/>
      <c r="B56" s="17">
        <v>139</v>
      </c>
      <c r="C56" s="22">
        <v>53</v>
      </c>
      <c r="D56" s="18" t="s">
        <v>62</v>
      </c>
      <c r="E56" s="19"/>
      <c r="F56" s="23">
        <f t="shared" si="1"/>
        <v>53</v>
      </c>
      <c r="G56" s="25" t="str">
        <f t="shared" si="0"/>
        <v>#53 // equipos</v>
      </c>
      <c r="H56" s="21">
        <v>1</v>
      </c>
      <c r="I56" s="23">
        <v>90</v>
      </c>
      <c r="K56" s="20" t="str">
        <f>CONCATENATE(CI_!$N$1,C56,", '",D56,"', '",E56,"' , ",F56," , '",G56,"' , ",H56,",",I56)</f>
        <v>EXECUTE [dbo].[PG_CI_SISTEMA_TAG] 139, 53, 'equipos', '' , 53 , '#53 // equipos' , 1,90</v>
      </c>
      <c r="L56" s="9"/>
    </row>
    <row r="57" spans="1:12" s="8" customFormat="1" x14ac:dyDescent="0.25">
      <c r="A57" s="16"/>
      <c r="B57" s="17">
        <v>139</v>
      </c>
      <c r="C57" s="22">
        <v>54</v>
      </c>
      <c r="D57" s="18" t="s">
        <v>63</v>
      </c>
      <c r="E57" s="19"/>
      <c r="F57" s="23">
        <f t="shared" si="1"/>
        <v>54</v>
      </c>
      <c r="G57" s="25" t="str">
        <f t="shared" si="0"/>
        <v>#54 // bajas</v>
      </c>
      <c r="H57" s="21">
        <v>1</v>
      </c>
      <c r="I57" s="23">
        <v>80</v>
      </c>
      <c r="K57" s="20" t="str">
        <f>CONCATENATE(CI_!$N$1,C57,", '",D57,"', '",E57,"' , ",F57," , '",G57,"' , ",H57,",",I57)</f>
        <v>EXECUTE [dbo].[PG_CI_SISTEMA_TAG] 139, 54, 'bajas', '' , 54 , '#54 // bajas' , 1,80</v>
      </c>
      <c r="L57" s="9"/>
    </row>
    <row r="58" spans="1:12" s="8" customFormat="1" x14ac:dyDescent="0.25">
      <c r="A58" s="16"/>
      <c r="B58" s="17">
        <v>139</v>
      </c>
      <c r="C58" s="22">
        <v>55</v>
      </c>
      <c r="D58" s="18" t="s">
        <v>64</v>
      </c>
      <c r="E58" s="19"/>
      <c r="F58" s="23">
        <f t="shared" si="1"/>
        <v>55</v>
      </c>
      <c r="G58" s="25" t="str">
        <f t="shared" si="0"/>
        <v>#55 // capacitacion</v>
      </c>
      <c r="H58" s="21">
        <v>1</v>
      </c>
      <c r="I58" s="23">
        <v>80</v>
      </c>
      <c r="K58" s="20" t="str">
        <f>CONCATENATE(CI_!$N$1,C58,", '",D58,"', '",E58,"' , ",F58," , '",G58,"' , ",H58,",",I58)</f>
        <v>EXECUTE [dbo].[PG_CI_SISTEMA_TAG] 139, 55, 'capacitacion', '' , 55 , '#55 // capacitacion' , 1,80</v>
      </c>
      <c r="L58" s="9"/>
    </row>
    <row r="59" spans="1:12" s="8" customFormat="1" x14ac:dyDescent="0.25">
      <c r="A59" s="16"/>
      <c r="B59" s="17">
        <v>139</v>
      </c>
      <c r="C59" s="22">
        <v>56</v>
      </c>
      <c r="D59" s="18" t="s">
        <v>65</v>
      </c>
      <c r="E59" s="19"/>
      <c r="F59" s="23">
        <f t="shared" si="1"/>
        <v>56</v>
      </c>
      <c r="G59" s="25" t="str">
        <f t="shared" si="0"/>
        <v>#56 // hide labels JL</v>
      </c>
      <c r="H59" s="21">
        <v>1</v>
      </c>
      <c r="I59" s="23">
        <v>60</v>
      </c>
      <c r="K59" s="20" t="str">
        <f>CONCATENATE(CI_!$N$1,C59,", '",D59,"', '",E59,"' , ",F59," , '",G59,"' , ",H59,",",I59)</f>
        <v>EXECUTE [dbo].[PG_CI_SISTEMA_TAG] 139, 56, 'hide labels JL', '' , 56 , '#56 // hide labels JL' , 1,60</v>
      </c>
      <c r="L59" s="9"/>
    </row>
    <row r="60" spans="1:12" s="8" customFormat="1" x14ac:dyDescent="0.25">
      <c r="A60" s="16"/>
      <c r="B60" s="17">
        <v>139</v>
      </c>
      <c r="C60" s="22">
        <v>57</v>
      </c>
      <c r="D60" s="18" t="s">
        <v>66</v>
      </c>
      <c r="E60" s="19"/>
      <c r="F60" s="23">
        <f t="shared" si="1"/>
        <v>57</v>
      </c>
      <c r="G60" s="25" t="str">
        <f t="shared" si="0"/>
        <v>#57 // toners</v>
      </c>
      <c r="H60" s="21">
        <v>1</v>
      </c>
      <c r="I60" s="23">
        <v>90</v>
      </c>
      <c r="K60" s="20" t="str">
        <f>CONCATENATE(CI_!$N$1,C60,", '",D60,"', '",E60,"' , ",F60," , '",G60,"' , ",H60,",",I60)</f>
        <v>EXECUTE [dbo].[PG_CI_SISTEMA_TAG] 139, 57, 'toners', '' , 57 , '#57 // toners' , 1,90</v>
      </c>
      <c r="L60" s="9"/>
    </row>
    <row r="61" spans="1:12" s="8" customFormat="1" x14ac:dyDescent="0.25">
      <c r="A61" s="16"/>
      <c r="B61" s="17">
        <v>139</v>
      </c>
      <c r="C61" s="22">
        <v>58</v>
      </c>
      <c r="D61" s="18" t="s">
        <v>67</v>
      </c>
      <c r="E61" s="19"/>
      <c r="F61" s="23">
        <f t="shared" si="1"/>
        <v>58</v>
      </c>
      <c r="G61" s="25" t="str">
        <f t="shared" si="0"/>
        <v>#58 // cerrar kits</v>
      </c>
      <c r="H61" s="21">
        <v>1</v>
      </c>
      <c r="I61" s="23">
        <v>20</v>
      </c>
      <c r="K61" s="20" t="str">
        <f>CONCATENATE(CI_!$N$1,C61,", '",D61,"', '",E61,"' , ",F61," , '",G61,"' , ",H61,",",I61)</f>
        <v>EXECUTE [dbo].[PG_CI_SISTEMA_TAG] 139, 58, 'cerrar kits', '' , 58 , '#58 // cerrar kits' , 1,20</v>
      </c>
      <c r="L61" s="9"/>
    </row>
    <row r="62" spans="1:12" s="8" customFormat="1" x14ac:dyDescent="0.25">
      <c r="A62" s="16"/>
      <c r="B62" s="17">
        <v>139</v>
      </c>
      <c r="C62" s="22">
        <v>59</v>
      </c>
      <c r="D62" s="18" t="s">
        <v>68</v>
      </c>
      <c r="E62" s="19"/>
      <c r="F62" s="23">
        <f t="shared" si="1"/>
        <v>59</v>
      </c>
      <c r="G62" s="25" t="str">
        <f t="shared" si="0"/>
        <v>#59 // ausentismo</v>
      </c>
      <c r="H62" s="21">
        <v>1</v>
      </c>
      <c r="I62" s="23">
        <v>80</v>
      </c>
      <c r="K62" s="20" t="str">
        <f>CONCATENATE(CI_!$N$1,C62,", '",D62,"', '",E62,"' , ",F62," , '",G62,"' , ",H62,",",I62)</f>
        <v>EXECUTE [dbo].[PG_CI_SISTEMA_TAG] 139, 59, 'ausentismo', '' , 59 , '#59 // ausentismo' , 1,80</v>
      </c>
      <c r="L62" s="9"/>
    </row>
    <row r="63" spans="1:12" s="8" customFormat="1" x14ac:dyDescent="0.25">
      <c r="A63" s="16"/>
      <c r="B63" s="17">
        <v>139</v>
      </c>
      <c r="C63" s="22">
        <v>60</v>
      </c>
      <c r="D63" s="18" t="s">
        <v>69</v>
      </c>
      <c r="E63" s="19"/>
      <c r="F63" s="23">
        <f t="shared" si="1"/>
        <v>60</v>
      </c>
      <c r="G63" s="25" t="str">
        <f t="shared" si="0"/>
        <v>#60 // reporte</v>
      </c>
      <c r="H63" s="21">
        <v>1</v>
      </c>
      <c r="I63" s="23">
        <v>80</v>
      </c>
      <c r="K63" s="20" t="str">
        <f>CONCATENATE(CI_!$N$1,C63,", '",D63,"', '",E63,"' , ",F63," , '",G63,"' , ",H63,",",I63)</f>
        <v>EXECUTE [dbo].[PG_CI_SISTEMA_TAG] 139, 60, 'reporte', '' , 60 , '#60 // reporte' , 1,80</v>
      </c>
      <c r="L63" s="9"/>
    </row>
    <row r="64" spans="1:12" s="8" customFormat="1" x14ac:dyDescent="0.25">
      <c r="A64" s="16"/>
      <c r="B64" s="17">
        <v>139</v>
      </c>
      <c r="C64" s="22">
        <v>61</v>
      </c>
      <c r="D64" s="18" t="s">
        <v>70</v>
      </c>
      <c r="E64" s="19"/>
      <c r="F64" s="23">
        <f t="shared" si="1"/>
        <v>61</v>
      </c>
      <c r="G64" s="25" t="str">
        <f t="shared" si="0"/>
        <v>#61 // compras</v>
      </c>
      <c r="H64" s="21">
        <v>1</v>
      </c>
      <c r="I64" s="23">
        <v>30</v>
      </c>
      <c r="K64" s="20" t="str">
        <f>CONCATENATE(CI_!$N$1,C64,", '",D64,"', '",E64,"' , ",F64," , '",G64,"' , ",H64,",",I64)</f>
        <v>EXECUTE [dbo].[PG_CI_SISTEMA_TAG] 139, 61, 'compras', '' , 61 , '#61 // compras' , 1,30</v>
      </c>
      <c r="L64" s="9"/>
    </row>
    <row r="65" spans="1:12" s="8" customFormat="1" x14ac:dyDescent="0.25">
      <c r="A65" s="16"/>
      <c r="B65" s="17">
        <v>139</v>
      </c>
      <c r="C65" s="22">
        <v>62</v>
      </c>
      <c r="D65" s="18" t="s">
        <v>71</v>
      </c>
      <c r="E65" s="19"/>
      <c r="F65" s="23">
        <f t="shared" si="1"/>
        <v>62</v>
      </c>
      <c r="G65" s="25" t="str">
        <f t="shared" si="0"/>
        <v>#62 // import hides</v>
      </c>
      <c r="H65" s="21">
        <v>1</v>
      </c>
      <c r="I65" s="23">
        <v>60</v>
      </c>
      <c r="K65" s="20" t="str">
        <f>CONCATENATE(CI_!$N$1,C65,", '",D65,"', '",E65,"' , ",F65," , '",G65,"' , ",H65,",",I65)</f>
        <v>EXECUTE [dbo].[PG_CI_SISTEMA_TAG] 139, 62, 'import hides', '' , 62 , '#62 // import hides' , 1,60</v>
      </c>
      <c r="L65" s="9"/>
    </row>
    <row r="66" spans="1:12" s="8" customFormat="1" x14ac:dyDescent="0.25">
      <c r="A66" s="16"/>
      <c r="B66" s="17">
        <v>139</v>
      </c>
      <c r="C66" s="22">
        <v>63</v>
      </c>
      <c r="D66" s="18" t="s">
        <v>72</v>
      </c>
      <c r="E66" s="19"/>
      <c r="F66" s="23">
        <f t="shared" si="1"/>
        <v>63</v>
      </c>
      <c r="G66" s="25" t="str">
        <f t="shared" si="0"/>
        <v>#63 // head count</v>
      </c>
      <c r="H66" s="21">
        <v>1</v>
      </c>
      <c r="I66" s="23">
        <v>80</v>
      </c>
      <c r="K66" s="20" t="str">
        <f>CONCATENATE(CI_!$N$1,C66,", '",D66,"', '",E66,"' , ",F66," , '",G66,"' , ",H66,",",I66)</f>
        <v>EXECUTE [dbo].[PG_CI_SISTEMA_TAG] 139, 63, 'head count', '' , 63 , '#63 // head count' , 1,80</v>
      </c>
      <c r="L66" s="9"/>
    </row>
    <row r="67" spans="1:12" s="8" customFormat="1" x14ac:dyDescent="0.25">
      <c r="A67" s="16"/>
      <c r="B67" s="17">
        <v>139</v>
      </c>
      <c r="C67" s="22">
        <v>64</v>
      </c>
      <c r="D67" s="18" t="s">
        <v>73</v>
      </c>
      <c r="E67" s="19"/>
      <c r="F67" s="23">
        <f t="shared" si="1"/>
        <v>64</v>
      </c>
      <c r="G67" s="25" t="str">
        <f t="shared" ref="G67:G70" si="2">CONCATENATE("#",C67," // ",D67)</f>
        <v>#64 // sales report</v>
      </c>
      <c r="H67" s="21">
        <v>1</v>
      </c>
      <c r="I67" s="23">
        <v>30</v>
      </c>
      <c r="K67" s="20" t="str">
        <f>CONCATENATE(CI_!$N$1,C67,", '",D67,"', '",E67,"' , ",F67," , '",G67,"' , ",H67,",",I67)</f>
        <v>EXECUTE [dbo].[PG_CI_SISTEMA_TAG] 139, 64, 'sales report', '' , 64 , '#64 // sales report' , 1,30</v>
      </c>
      <c r="L67" s="9"/>
    </row>
    <row r="68" spans="1:12" s="8" customFormat="1" x14ac:dyDescent="0.25">
      <c r="A68" s="16"/>
      <c r="B68" s="17">
        <v>139</v>
      </c>
      <c r="C68" s="22">
        <v>65</v>
      </c>
      <c r="D68" s="18" t="s">
        <v>74</v>
      </c>
      <c r="E68" s="19"/>
      <c r="F68" s="23">
        <f t="shared" ref="F68:F70" si="3">C68</f>
        <v>65</v>
      </c>
      <c r="G68" s="25" t="str">
        <f t="shared" si="2"/>
        <v>#65 // fingerprint</v>
      </c>
      <c r="H68" s="21">
        <v>1</v>
      </c>
      <c r="I68" s="23">
        <v>80</v>
      </c>
      <c r="K68" s="20" t="str">
        <f>CONCATENATE(CI_!$N$1,C68,", '",D68,"', '",E68,"' , ",F68," , '",G68,"' , ",H68,",",I68)</f>
        <v>EXECUTE [dbo].[PG_CI_SISTEMA_TAG] 139, 65, 'fingerprint', '' , 65 , '#65 // fingerprint' , 1,80</v>
      </c>
      <c r="L68" s="9"/>
    </row>
    <row r="69" spans="1:12" s="8" customFormat="1" x14ac:dyDescent="0.25">
      <c r="A69" s="16"/>
      <c r="B69" s="17">
        <v>139</v>
      </c>
      <c r="C69" s="22">
        <v>66</v>
      </c>
      <c r="D69" s="18" t="s">
        <v>75</v>
      </c>
      <c r="E69" s="19"/>
      <c r="F69" s="23">
        <f t="shared" si="3"/>
        <v>66</v>
      </c>
      <c r="G69" s="25" t="str">
        <f t="shared" si="2"/>
        <v>#66 // customers</v>
      </c>
      <c r="H69" s="21">
        <v>1</v>
      </c>
      <c r="I69" s="23">
        <v>50</v>
      </c>
      <c r="K69" s="20" t="str">
        <f>CONCATENATE(CI_!$N$1,C69,", '",D69,"', '",E69,"' , ",F69," , '",G69,"' , ",H69,",",I69)</f>
        <v>EXECUTE [dbo].[PG_CI_SISTEMA_TAG] 139, 66, 'customers', '' , 66 , '#66 // customers' , 1,50</v>
      </c>
      <c r="L69" s="9"/>
    </row>
    <row r="70" spans="1:12" s="8" customFormat="1" x14ac:dyDescent="0.25">
      <c r="A70" s="16"/>
      <c r="B70" s="17">
        <v>139</v>
      </c>
      <c r="C70" s="22">
        <v>67</v>
      </c>
      <c r="D70" s="18" t="s">
        <v>76</v>
      </c>
      <c r="E70" s="19"/>
      <c r="F70" s="23">
        <f t="shared" si="3"/>
        <v>67</v>
      </c>
      <c r="G70" s="25" t="str">
        <f t="shared" si="2"/>
        <v>#67 // cotizaciones</v>
      </c>
      <c r="H70" s="21">
        <v>1</v>
      </c>
      <c r="I70" s="23">
        <v>50</v>
      </c>
      <c r="K70" s="20" t="str">
        <f>CONCATENATE(CI_!$N$1,C70,", '",D70,"', '",E70,"' , ",F70," , '",G70,"' , ",H70,",",I70)</f>
        <v>EXECUTE [dbo].[PG_CI_SISTEMA_TAG] 139, 67, 'cotizaciones', '' , 67 , '#67 // cotizaciones' , 1,50</v>
      </c>
      <c r="L70" s="9"/>
    </row>
    <row r="71" spans="1:12" s="8" customFormat="1" x14ac:dyDescent="0.25">
      <c r="A71" s="16"/>
      <c r="B71" s="17"/>
      <c r="C71" s="22"/>
      <c r="D71" s="18"/>
      <c r="E71" s="19"/>
      <c r="F71" s="23"/>
      <c r="G71" s="25"/>
      <c r="H71" s="21"/>
      <c r="I71" s="23"/>
      <c r="K71" s="20"/>
      <c r="L71" s="9"/>
    </row>
    <row r="72" spans="1:12" s="8" customFormat="1" x14ac:dyDescent="0.25">
      <c r="A72" s="16"/>
      <c r="B72" s="17"/>
      <c r="C72" s="22"/>
      <c r="D72" s="18"/>
      <c r="E72" s="19"/>
      <c r="F72" s="23"/>
      <c r="G72" s="25"/>
      <c r="H72" s="21"/>
      <c r="I72" s="23"/>
      <c r="K72" s="20"/>
      <c r="L72" s="9"/>
    </row>
    <row r="73" spans="1:12" s="8" customFormat="1" x14ac:dyDescent="0.25">
      <c r="A73" s="16"/>
      <c r="B73" s="17"/>
      <c r="C73" s="22"/>
      <c r="D73" s="18"/>
      <c r="E73" s="19"/>
      <c r="F73" s="23"/>
      <c r="G73" s="25"/>
      <c r="H73" s="21"/>
      <c r="I73" s="23"/>
      <c r="K73" s="20"/>
      <c r="L73" s="9"/>
    </row>
    <row r="74" spans="1:12" s="8" customFormat="1" x14ac:dyDescent="0.25">
      <c r="A74" s="16"/>
      <c r="B74" s="17"/>
      <c r="C74" s="22"/>
      <c r="D74" s="18"/>
      <c r="E74" s="19"/>
      <c r="F74" s="23"/>
      <c r="G74" s="25"/>
      <c r="H74" s="21"/>
      <c r="I74" s="23"/>
      <c r="K74" s="20"/>
      <c r="L74" s="9"/>
    </row>
    <row r="75" spans="1:12" s="8" customFormat="1" x14ac:dyDescent="0.25">
      <c r="A75" s="16"/>
      <c r="B75" s="17"/>
      <c r="C75" s="22"/>
      <c r="D75" s="18"/>
      <c r="E75" s="19"/>
      <c r="F75" s="23"/>
      <c r="G75" s="25"/>
      <c r="H75" s="21"/>
      <c r="I75" s="23"/>
      <c r="K75" s="20"/>
      <c r="L75" s="9"/>
    </row>
    <row r="76" spans="1:12" s="8" customFormat="1" x14ac:dyDescent="0.25">
      <c r="A76" s="16"/>
      <c r="B76" s="17"/>
      <c r="C76" s="22"/>
      <c r="D76" s="18"/>
      <c r="E76" s="19"/>
      <c r="F76" s="23"/>
      <c r="G76" s="25"/>
      <c r="H76" s="21"/>
      <c r="I76" s="23"/>
      <c r="K76" s="20"/>
      <c r="L76" s="9"/>
    </row>
    <row r="77" spans="1:12" s="8" customFormat="1" x14ac:dyDescent="0.25">
      <c r="A77" s="16"/>
      <c r="B77" s="17"/>
      <c r="C77" s="22"/>
      <c r="D77" s="18"/>
      <c r="E77" s="19"/>
      <c r="F77" s="23"/>
      <c r="G77" s="25"/>
      <c r="H77" s="21"/>
      <c r="I77" s="23"/>
      <c r="K77" s="20"/>
      <c r="L77" s="9"/>
    </row>
    <row r="78" spans="1:12" s="8" customFormat="1" x14ac:dyDescent="0.25">
      <c r="A78" s="16"/>
      <c r="B78" s="17"/>
      <c r="C78" s="22"/>
      <c r="D78" s="18"/>
      <c r="E78" s="19"/>
      <c r="F78" s="23"/>
      <c r="G78" s="25"/>
      <c r="H78" s="21"/>
      <c r="I78" s="23"/>
      <c r="K78" s="20"/>
      <c r="L78" s="9"/>
    </row>
    <row r="79" spans="1:12" s="8" customFormat="1" x14ac:dyDescent="0.25">
      <c r="A79" s="16"/>
      <c r="B79" s="17"/>
      <c r="C79" s="22"/>
      <c r="D79" s="18"/>
      <c r="E79" s="19"/>
      <c r="F79" s="23"/>
      <c r="G79" s="25"/>
      <c r="H79" s="21"/>
      <c r="I79" s="23"/>
      <c r="K79" s="20"/>
      <c r="L79" s="9"/>
    </row>
    <row r="80" spans="1:12" s="8" customFormat="1" x14ac:dyDescent="0.25">
      <c r="A80" s="16"/>
      <c r="B80" s="17"/>
      <c r="C80" s="22"/>
      <c r="D80" s="18"/>
      <c r="E80" s="19"/>
      <c r="F80" s="23"/>
      <c r="G80" s="25"/>
      <c r="H80" s="21"/>
      <c r="I80" s="23"/>
      <c r="K80" s="20"/>
      <c r="L80" s="9"/>
    </row>
    <row r="81" spans="1:12" s="8" customFormat="1" x14ac:dyDescent="0.25">
      <c r="A81" s="16"/>
      <c r="B81" s="17"/>
      <c r="C81" s="22"/>
      <c r="D81" s="18"/>
      <c r="E81" s="19"/>
      <c r="F81" s="23"/>
      <c r="G81" s="25"/>
      <c r="H81" s="21"/>
      <c r="I81" s="23"/>
      <c r="K81" s="20"/>
      <c r="L81" s="9"/>
    </row>
    <row r="82" spans="1:12" s="8" customFormat="1" x14ac:dyDescent="0.25">
      <c r="A82" s="16"/>
      <c r="B82" s="17"/>
      <c r="C82" s="22"/>
      <c r="D82" s="18"/>
      <c r="E82" s="19"/>
      <c r="F82" s="23"/>
      <c r="G82" s="25"/>
      <c r="H82" s="21"/>
      <c r="I82" s="23"/>
      <c r="K82" s="20"/>
      <c r="L82" s="9"/>
    </row>
    <row r="83" spans="1:12" s="8" customFormat="1" x14ac:dyDescent="0.25">
      <c r="A83" s="16"/>
      <c r="B83" s="17"/>
      <c r="C83" s="22"/>
      <c r="D83" s="18"/>
      <c r="E83" s="19"/>
      <c r="F83" s="23"/>
      <c r="G83" s="25"/>
      <c r="H83" s="21"/>
      <c r="I83" s="23"/>
      <c r="K83" s="20"/>
      <c r="L83" s="9"/>
    </row>
    <row r="84" spans="1:12" s="8" customFormat="1" x14ac:dyDescent="0.25">
      <c r="A84" s="16"/>
      <c r="B84" s="17"/>
      <c r="C84" s="22"/>
      <c r="D84" s="18"/>
      <c r="E84" s="19"/>
      <c r="F84" s="23"/>
      <c r="G84" s="25"/>
      <c r="H84" s="21"/>
      <c r="I84" s="23"/>
      <c r="K84" s="20"/>
      <c r="L84" s="9"/>
    </row>
    <row r="85" spans="1:12" s="8" customFormat="1" x14ac:dyDescent="0.25">
      <c r="A85" s="16"/>
      <c r="B85" s="17"/>
      <c r="C85" s="22"/>
      <c r="D85" s="18"/>
      <c r="E85" s="19"/>
      <c r="F85" s="23"/>
      <c r="G85" s="25"/>
      <c r="H85" s="21"/>
      <c r="I85" s="23"/>
      <c r="K85" s="20"/>
      <c r="L85" s="9"/>
    </row>
    <row r="86" spans="1:12" s="8" customFormat="1" x14ac:dyDescent="0.25">
      <c r="A86" s="16"/>
      <c r="B86" s="17"/>
      <c r="C86" s="22"/>
      <c r="D86" s="18"/>
      <c r="E86" s="19"/>
      <c r="F86" s="23"/>
      <c r="G86" s="25"/>
      <c r="H86" s="21"/>
      <c r="I86" s="23"/>
      <c r="K86" s="20"/>
      <c r="L86" s="9"/>
    </row>
    <row r="87" spans="1:12" s="8" customFormat="1" x14ac:dyDescent="0.25">
      <c r="A87" s="16"/>
      <c r="B87" s="17"/>
      <c r="C87" s="22"/>
      <c r="D87" s="18"/>
      <c r="E87" s="19"/>
      <c r="F87" s="23"/>
      <c r="G87" s="25"/>
      <c r="H87" s="21"/>
      <c r="I87" s="23"/>
      <c r="K87" s="20"/>
      <c r="L87" s="9"/>
    </row>
    <row r="88" spans="1:12" s="8" customFormat="1" x14ac:dyDescent="0.25">
      <c r="A88" s="16"/>
      <c r="B88" s="17"/>
      <c r="C88" s="22"/>
      <c r="D88" s="18"/>
      <c r="E88" s="19"/>
      <c r="F88" s="23"/>
      <c r="G88" s="25"/>
      <c r="H88" s="21"/>
      <c r="I88" s="23"/>
      <c r="K88" s="20"/>
      <c r="L88" s="9"/>
    </row>
    <row r="89" spans="1:12" s="8" customFormat="1" x14ac:dyDescent="0.25">
      <c r="A89" s="16"/>
      <c r="B89" s="17"/>
      <c r="C89" s="22"/>
      <c r="D89" s="18"/>
      <c r="E89" s="19"/>
      <c r="F89" s="23"/>
      <c r="G89" s="25"/>
      <c r="H89" s="21"/>
      <c r="I89" s="23"/>
      <c r="K89" s="20"/>
      <c r="L89" s="9"/>
    </row>
    <row r="90" spans="1:12" s="8" customFormat="1" x14ac:dyDescent="0.25">
      <c r="A90" s="16"/>
      <c r="B90" s="17"/>
      <c r="C90" s="22"/>
      <c r="D90" s="18"/>
      <c r="E90" s="19"/>
      <c r="F90" s="23"/>
      <c r="G90" s="25"/>
      <c r="H90" s="21"/>
      <c r="I90" s="23"/>
      <c r="K90" s="20"/>
      <c r="L90" s="9"/>
    </row>
    <row r="91" spans="1:12" s="8" customFormat="1" x14ac:dyDescent="0.25">
      <c r="A91" s="16"/>
      <c r="B91" s="17"/>
      <c r="C91" s="22"/>
      <c r="D91" s="18"/>
      <c r="E91" s="19"/>
      <c r="F91" s="23"/>
      <c r="G91" s="25"/>
      <c r="H91" s="21"/>
      <c r="I91" s="23"/>
      <c r="K91" s="20"/>
      <c r="L91" s="9"/>
    </row>
    <row r="92" spans="1:12" s="8" customFormat="1" x14ac:dyDescent="0.25">
      <c r="A92" s="16"/>
      <c r="B92" s="17"/>
      <c r="C92" s="22"/>
      <c r="D92" s="18"/>
      <c r="E92" s="19"/>
      <c r="F92" s="23"/>
      <c r="G92" s="25"/>
      <c r="H92" s="21"/>
      <c r="I92" s="23"/>
      <c r="K92" s="20"/>
      <c r="L92" s="9"/>
    </row>
    <row r="93" spans="1:12" s="8" customFormat="1" x14ac:dyDescent="0.25">
      <c r="A93" s="16"/>
      <c r="B93" s="17"/>
      <c r="C93" s="22"/>
      <c r="D93" s="18"/>
      <c r="E93" s="19"/>
      <c r="F93" s="23"/>
      <c r="G93" s="25"/>
      <c r="H93" s="21"/>
      <c r="I93" s="23"/>
      <c r="K93" s="20"/>
      <c r="L93" s="9"/>
    </row>
    <row r="94" spans="1:12" s="8" customFormat="1" x14ac:dyDescent="0.25">
      <c r="A94" s="16"/>
      <c r="B94" s="17"/>
      <c r="C94" s="22"/>
      <c r="D94" s="18"/>
      <c r="E94" s="19"/>
      <c r="F94" s="23"/>
      <c r="G94" s="25"/>
      <c r="H94" s="21"/>
      <c r="I94" s="23"/>
      <c r="K94" s="20"/>
      <c r="L94" s="9"/>
    </row>
    <row r="95" spans="1:12" s="8" customFormat="1" x14ac:dyDescent="0.25">
      <c r="A95" s="16"/>
      <c r="B95" s="17"/>
      <c r="C95" s="22"/>
      <c r="D95" s="18"/>
      <c r="E95" s="19"/>
      <c r="F95" s="23"/>
      <c r="G95" s="25"/>
      <c r="H95" s="21"/>
      <c r="I95" s="23"/>
      <c r="K95" s="20"/>
      <c r="L95" s="9"/>
    </row>
    <row r="96" spans="1:12" s="8" customFormat="1" x14ac:dyDescent="0.25">
      <c r="A96" s="16"/>
      <c r="B96" s="17"/>
      <c r="C96" s="22"/>
      <c r="D96" s="18"/>
      <c r="E96" s="19"/>
      <c r="F96" s="23"/>
      <c r="G96" s="25"/>
      <c r="H96" s="21"/>
      <c r="I96" s="23"/>
      <c r="K96" s="20"/>
      <c r="L96" s="9"/>
    </row>
    <row r="97" spans="1:12" s="8" customFormat="1" x14ac:dyDescent="0.25">
      <c r="A97" s="16"/>
      <c r="B97" s="17"/>
      <c r="C97" s="22"/>
      <c r="D97" s="18"/>
      <c r="E97" s="19"/>
      <c r="F97" s="23"/>
      <c r="G97" s="25"/>
      <c r="H97" s="21"/>
      <c r="I97" s="23"/>
      <c r="K97" s="20"/>
      <c r="L97" s="9"/>
    </row>
    <row r="98" spans="1:12" s="8" customFormat="1" x14ac:dyDescent="0.25">
      <c r="A98" s="16"/>
      <c r="B98" s="17"/>
      <c r="C98" s="22"/>
      <c r="D98" s="18"/>
      <c r="E98" s="19"/>
      <c r="F98" s="23"/>
      <c r="G98" s="25"/>
      <c r="H98" s="21"/>
      <c r="I98" s="23"/>
      <c r="K98" s="20"/>
      <c r="L98" s="9"/>
    </row>
    <row r="99" spans="1:12" s="8" customFormat="1" x14ac:dyDescent="0.25">
      <c r="A99" s="16"/>
      <c r="B99" s="17"/>
      <c r="C99" s="22"/>
      <c r="D99" s="18"/>
      <c r="E99" s="19"/>
      <c r="F99" s="23"/>
      <c r="G99" s="25"/>
      <c r="H99" s="21"/>
      <c r="I99" s="23"/>
      <c r="K99" s="20"/>
      <c r="L99" s="9"/>
    </row>
    <row r="100" spans="1:12" s="8" customFormat="1" x14ac:dyDescent="0.25">
      <c r="A100" s="16"/>
      <c r="B100" s="17"/>
      <c r="C100" s="22"/>
      <c r="D100" s="18"/>
      <c r="E100" s="19"/>
      <c r="F100" s="23"/>
      <c r="G100" s="25"/>
      <c r="H100" s="21"/>
      <c r="I100" s="23"/>
      <c r="K100" s="20"/>
      <c r="L100" s="9"/>
    </row>
    <row r="101" spans="1:12" s="8" customFormat="1" x14ac:dyDescent="0.25">
      <c r="A101" s="16"/>
      <c r="B101" s="17"/>
      <c r="C101" s="22"/>
      <c r="D101" s="18"/>
      <c r="E101" s="19"/>
      <c r="F101" s="23"/>
      <c r="G101" s="25"/>
      <c r="H101" s="21"/>
      <c r="I101" s="23"/>
      <c r="K101" s="20"/>
      <c r="L101" s="9"/>
    </row>
    <row r="102" spans="1:12" s="8" customFormat="1" x14ac:dyDescent="0.25">
      <c r="A102" s="16"/>
      <c r="B102" s="17"/>
      <c r="C102" s="22"/>
      <c r="D102" s="18"/>
      <c r="E102" s="19"/>
      <c r="F102" s="23"/>
      <c r="G102" s="25"/>
      <c r="H102" s="21"/>
      <c r="I102" s="23"/>
      <c r="K102" s="20"/>
      <c r="L102" s="9"/>
    </row>
    <row r="103" spans="1:12" s="8" customFormat="1" x14ac:dyDescent="0.25">
      <c r="A103" s="16"/>
      <c r="B103" s="17"/>
      <c r="C103" s="22"/>
      <c r="D103" s="18"/>
      <c r="E103" s="19"/>
      <c r="F103" s="23"/>
      <c r="G103" s="25"/>
      <c r="H103" s="21"/>
      <c r="I103" s="23"/>
      <c r="K103" s="20"/>
      <c r="L103" s="9"/>
    </row>
    <row r="104" spans="1:12" s="8" customFormat="1" x14ac:dyDescent="0.25">
      <c r="A104" s="16"/>
      <c r="B104" s="17"/>
      <c r="C104" s="22"/>
      <c r="D104" s="18"/>
      <c r="E104" s="19"/>
      <c r="F104" s="23"/>
      <c r="G104" s="25"/>
      <c r="H104" s="21"/>
      <c r="I104" s="23"/>
      <c r="K104" s="20"/>
      <c r="L104" s="9"/>
    </row>
    <row r="105" spans="1:12" s="8" customFormat="1" x14ac:dyDescent="0.25">
      <c r="A105" s="16"/>
      <c r="B105" s="17"/>
      <c r="C105" s="22"/>
      <c r="D105" s="18"/>
      <c r="E105" s="19"/>
      <c r="F105" s="23"/>
      <c r="G105" s="25"/>
      <c r="H105" s="21"/>
      <c r="I105" s="23"/>
      <c r="K105" s="20"/>
      <c r="L105" s="9"/>
    </row>
    <row r="106" spans="1:12" s="8" customFormat="1" x14ac:dyDescent="0.25">
      <c r="A106" s="16"/>
      <c r="B106" s="17"/>
      <c r="C106" s="22"/>
      <c r="D106" s="18"/>
      <c r="E106" s="19"/>
      <c r="F106" s="23"/>
      <c r="G106" s="25"/>
      <c r="H106" s="21"/>
      <c r="I106" s="23"/>
      <c r="K106" s="20"/>
      <c r="L106" s="9"/>
    </row>
    <row r="107" spans="1:12" s="8" customFormat="1" x14ac:dyDescent="0.25">
      <c r="A107" s="16"/>
      <c r="B107" s="17"/>
      <c r="C107" s="22"/>
      <c r="D107" s="18"/>
      <c r="E107" s="19"/>
      <c r="F107" s="23"/>
      <c r="G107" s="25"/>
      <c r="H107" s="21"/>
      <c r="I107" s="23"/>
      <c r="K107" s="20"/>
      <c r="L107" s="9"/>
    </row>
    <row r="108" spans="1:12" s="8" customFormat="1" x14ac:dyDescent="0.25">
      <c r="A108" s="16"/>
      <c r="B108" s="17"/>
      <c r="C108" s="22"/>
      <c r="D108" s="18"/>
      <c r="E108" s="19"/>
      <c r="F108" s="23"/>
      <c r="G108" s="25"/>
      <c r="H108" s="21"/>
      <c r="I108" s="23"/>
      <c r="K108" s="20"/>
      <c r="L108" s="9"/>
    </row>
    <row r="109" spans="1:12" s="8" customFormat="1" x14ac:dyDescent="0.25">
      <c r="A109" s="16"/>
      <c r="B109" s="17"/>
      <c r="C109" s="22"/>
      <c r="D109" s="18"/>
      <c r="E109" s="19"/>
      <c r="F109" s="23"/>
      <c r="G109" s="25"/>
      <c r="H109" s="21"/>
      <c r="I109" s="23"/>
      <c r="K109" s="20"/>
      <c r="L109" s="9"/>
    </row>
    <row r="110" spans="1:12" s="8" customFormat="1" x14ac:dyDescent="0.25">
      <c r="A110" s="16"/>
      <c r="B110" s="17"/>
      <c r="C110" s="22"/>
      <c r="D110" s="18"/>
      <c r="E110" s="19"/>
      <c r="F110" s="23"/>
      <c r="G110" s="25"/>
      <c r="H110" s="21"/>
      <c r="I110" s="23"/>
      <c r="K110" s="20"/>
      <c r="L110" s="9"/>
    </row>
    <row r="111" spans="1:12" s="8" customFormat="1" x14ac:dyDescent="0.25">
      <c r="A111" s="16"/>
      <c r="B111" s="17"/>
      <c r="C111" s="22"/>
      <c r="D111" s="18"/>
      <c r="E111" s="19"/>
      <c r="F111" s="23"/>
      <c r="G111" s="25"/>
      <c r="H111" s="21"/>
      <c r="I111" s="23"/>
      <c r="K111" s="20"/>
      <c r="L111" s="9"/>
    </row>
    <row r="112" spans="1:12" s="8" customFormat="1" x14ac:dyDescent="0.25">
      <c r="A112" s="16"/>
      <c r="B112" s="17"/>
      <c r="C112" s="22"/>
      <c r="D112" s="18"/>
      <c r="E112" s="19"/>
      <c r="F112" s="23"/>
      <c r="G112" s="25"/>
      <c r="H112" s="21"/>
      <c r="I112" s="23"/>
      <c r="K112" s="20"/>
      <c r="L112" s="9"/>
    </row>
    <row r="113" spans="1:12" s="8" customFormat="1" x14ac:dyDescent="0.25">
      <c r="A113" s="16"/>
      <c r="B113" s="17"/>
      <c r="C113" s="22"/>
      <c r="D113" s="18"/>
      <c r="E113" s="19"/>
      <c r="F113" s="23"/>
      <c r="G113" s="25"/>
      <c r="H113" s="21"/>
      <c r="I113" s="23"/>
      <c r="K113" s="20"/>
      <c r="L113" s="9"/>
    </row>
    <row r="114" spans="1:12" s="8" customFormat="1" x14ac:dyDescent="0.25">
      <c r="A114" s="16"/>
      <c r="B114" s="17"/>
      <c r="C114" s="22"/>
      <c r="D114" s="18"/>
      <c r="E114" s="19"/>
      <c r="F114" s="23"/>
      <c r="G114" s="25"/>
      <c r="H114" s="21"/>
      <c r="I114" s="23"/>
      <c r="K114" s="20"/>
      <c r="L114" s="9"/>
    </row>
    <row r="115" spans="1:12" s="8" customFormat="1" x14ac:dyDescent="0.25">
      <c r="A115" s="16"/>
      <c r="B115" s="17"/>
      <c r="C115" s="22"/>
      <c r="D115" s="18"/>
      <c r="E115" s="19"/>
      <c r="F115" s="23"/>
      <c r="G115" s="25"/>
      <c r="H115" s="21"/>
      <c r="I115" s="23"/>
      <c r="K115" s="20"/>
      <c r="L115" s="9"/>
    </row>
    <row r="116" spans="1:12" s="8" customFormat="1" x14ac:dyDescent="0.25">
      <c r="A116" s="16"/>
      <c r="B116" s="17"/>
      <c r="C116" s="22"/>
      <c r="D116" s="18"/>
      <c r="E116" s="19"/>
      <c r="F116" s="23"/>
      <c r="G116" s="25"/>
      <c r="H116" s="21"/>
      <c r="I116" s="23"/>
      <c r="K116" s="20"/>
      <c r="L116" s="9"/>
    </row>
    <row r="117" spans="1:12" s="8" customFormat="1" x14ac:dyDescent="0.25">
      <c r="A117" s="16"/>
      <c r="B117" s="17"/>
      <c r="C117" s="22"/>
      <c r="D117" s="18"/>
      <c r="E117" s="19"/>
      <c r="F117" s="23"/>
      <c r="G117" s="25"/>
      <c r="H117" s="21"/>
      <c r="I117" s="23"/>
      <c r="K117" s="20"/>
      <c r="L117" s="9"/>
    </row>
    <row r="118" spans="1:12" s="8" customFormat="1" x14ac:dyDescent="0.25">
      <c r="A118" s="16"/>
      <c r="B118" s="17"/>
      <c r="C118" s="22"/>
      <c r="D118" s="18"/>
      <c r="E118" s="19"/>
      <c r="F118" s="23"/>
      <c r="G118" s="25"/>
      <c r="H118" s="21"/>
      <c r="I118" s="23"/>
      <c r="K118" s="20"/>
      <c r="L118" s="9"/>
    </row>
    <row r="119" spans="1:12" s="8" customFormat="1" x14ac:dyDescent="0.25">
      <c r="A119" s="16"/>
      <c r="B119" s="17"/>
      <c r="C119" s="22"/>
      <c r="D119" s="18"/>
      <c r="E119" s="19"/>
      <c r="F119" s="23"/>
      <c r="G119" s="25"/>
      <c r="H119" s="21"/>
      <c r="I119" s="23"/>
      <c r="K119" s="20"/>
      <c r="L119" s="9"/>
    </row>
    <row r="120" spans="1:12" s="8" customFormat="1" x14ac:dyDescent="0.25">
      <c r="A120" s="16"/>
      <c r="B120" s="17"/>
      <c r="C120" s="22"/>
      <c r="D120" s="18"/>
      <c r="E120" s="19"/>
      <c r="F120" s="23"/>
      <c r="G120" s="25"/>
      <c r="H120" s="21"/>
      <c r="I120" s="23"/>
      <c r="K120" s="20"/>
      <c r="L120" s="9"/>
    </row>
    <row r="121" spans="1:12" s="8" customFormat="1" x14ac:dyDescent="0.25">
      <c r="A121" s="16"/>
      <c r="B121" s="17"/>
      <c r="C121" s="22"/>
      <c r="D121" s="18"/>
      <c r="E121" s="19"/>
      <c r="F121" s="23"/>
      <c r="G121" s="25"/>
      <c r="H121" s="21"/>
      <c r="I121" s="23"/>
      <c r="K121" s="20"/>
      <c r="L121" s="9"/>
    </row>
    <row r="122" spans="1:12" s="8" customFormat="1" x14ac:dyDescent="0.25">
      <c r="A122" s="16"/>
      <c r="B122" s="17"/>
      <c r="C122" s="22"/>
      <c r="D122" s="18"/>
      <c r="E122" s="19"/>
      <c r="F122" s="23"/>
      <c r="G122" s="25"/>
      <c r="H122" s="21"/>
      <c r="I122" s="23"/>
      <c r="K122" s="20"/>
      <c r="L122" s="9"/>
    </row>
    <row r="123" spans="1:12" s="8" customFormat="1" x14ac:dyDescent="0.25">
      <c r="A123" s="16"/>
      <c r="B123" s="17"/>
      <c r="C123" s="22"/>
      <c r="D123" s="18"/>
      <c r="E123" s="19"/>
      <c r="F123" s="23"/>
      <c r="G123" s="25"/>
      <c r="H123" s="21"/>
      <c r="I123" s="23"/>
      <c r="K123" s="20"/>
      <c r="L123" s="9"/>
    </row>
    <row r="124" spans="1:12" s="8" customFormat="1" x14ac:dyDescent="0.25">
      <c r="A124" s="16"/>
      <c r="B124" s="17"/>
      <c r="C124" s="22"/>
      <c r="D124" s="18"/>
      <c r="E124" s="19"/>
      <c r="F124" s="23"/>
      <c r="G124" s="25"/>
      <c r="H124" s="21"/>
      <c r="I124" s="23"/>
      <c r="K124" s="20"/>
      <c r="L124" s="9"/>
    </row>
    <row r="125" spans="1:12" s="8" customFormat="1" x14ac:dyDescent="0.25">
      <c r="A125" s="16"/>
      <c r="B125" s="17"/>
      <c r="C125" s="22"/>
      <c r="D125" s="18"/>
      <c r="E125" s="19"/>
      <c r="F125" s="23"/>
      <c r="G125" s="25"/>
      <c r="H125" s="21"/>
      <c r="I125" s="23"/>
      <c r="K125" s="20"/>
      <c r="L125" s="9"/>
    </row>
    <row r="126" spans="1:12" s="8" customFormat="1" x14ac:dyDescent="0.25">
      <c r="A126" s="16"/>
      <c r="B126" s="17"/>
      <c r="C126" s="22"/>
      <c r="D126" s="18"/>
      <c r="E126" s="19"/>
      <c r="F126" s="23"/>
      <c r="G126" s="25"/>
      <c r="H126" s="21"/>
      <c r="I126" s="23"/>
      <c r="K126" s="20"/>
      <c r="L126" s="9"/>
    </row>
    <row r="127" spans="1:12" s="8" customFormat="1" x14ac:dyDescent="0.25">
      <c r="A127" s="16"/>
      <c r="B127" s="17"/>
      <c r="C127" s="22"/>
      <c r="D127" s="18"/>
      <c r="E127" s="19"/>
      <c r="F127" s="23"/>
      <c r="G127" s="25"/>
      <c r="H127" s="21"/>
      <c r="I127" s="23"/>
      <c r="K127" s="20"/>
      <c r="L127" s="9"/>
    </row>
    <row r="128" spans="1:12" s="8" customFormat="1" x14ac:dyDescent="0.25">
      <c r="A128" s="16"/>
      <c r="B128" s="17"/>
      <c r="C128" s="22"/>
      <c r="D128" s="18"/>
      <c r="E128" s="19"/>
      <c r="F128" s="23"/>
      <c r="G128" s="25"/>
      <c r="H128" s="21"/>
      <c r="I128" s="23"/>
      <c r="K128" s="20"/>
      <c r="L128" s="9"/>
    </row>
    <row r="129" spans="1:12" s="8" customFormat="1" x14ac:dyDescent="0.25">
      <c r="A129" s="16"/>
      <c r="B129" s="17"/>
      <c r="C129" s="22"/>
      <c r="D129" s="18"/>
      <c r="E129" s="19"/>
      <c r="F129" s="23"/>
      <c r="G129" s="25"/>
      <c r="H129" s="21"/>
      <c r="I129" s="23"/>
      <c r="K129" s="20"/>
      <c r="L129" s="9"/>
    </row>
    <row r="130" spans="1:12" s="8" customFormat="1" x14ac:dyDescent="0.25">
      <c r="A130" s="16"/>
      <c r="B130" s="17"/>
      <c r="C130" s="22"/>
      <c r="D130" s="18"/>
      <c r="E130" s="19"/>
      <c r="F130" s="23"/>
      <c r="G130" s="25"/>
      <c r="H130" s="21"/>
      <c r="I130" s="23"/>
      <c r="K130" s="20"/>
      <c r="L130" s="9"/>
    </row>
    <row r="131" spans="1:12" s="8" customFormat="1" x14ac:dyDescent="0.25">
      <c r="A131" s="16"/>
      <c r="B131" s="17"/>
      <c r="C131" s="22"/>
      <c r="D131" s="18"/>
      <c r="E131" s="19"/>
      <c r="F131" s="23"/>
      <c r="G131" s="25"/>
      <c r="H131" s="21"/>
      <c r="I131" s="23"/>
      <c r="K131" s="20"/>
      <c r="L131" s="9"/>
    </row>
    <row r="132" spans="1:12" s="8" customFormat="1" x14ac:dyDescent="0.25">
      <c r="A132" s="16"/>
      <c r="B132" s="17"/>
      <c r="C132" s="22"/>
      <c r="D132" s="18"/>
      <c r="E132" s="19"/>
      <c r="F132" s="23"/>
      <c r="G132" s="25"/>
      <c r="H132" s="21"/>
      <c r="I132" s="23"/>
      <c r="K132" s="20"/>
      <c r="L132" s="9"/>
    </row>
    <row r="133" spans="1:12" s="8" customFormat="1" x14ac:dyDescent="0.25">
      <c r="A133" s="16"/>
      <c r="B133" s="17"/>
      <c r="C133" s="22"/>
      <c r="D133" s="18"/>
      <c r="E133" s="19"/>
      <c r="F133" s="23"/>
      <c r="G133" s="25"/>
      <c r="H133" s="21"/>
      <c r="I133" s="23"/>
      <c r="K133" s="20"/>
      <c r="L133" s="9"/>
    </row>
    <row r="134" spans="1:12" s="8" customFormat="1" x14ac:dyDescent="0.25">
      <c r="A134" s="16"/>
      <c r="B134" s="17"/>
      <c r="C134" s="22"/>
      <c r="D134" s="18"/>
      <c r="E134" s="19"/>
      <c r="F134" s="23"/>
      <c r="G134" s="25"/>
      <c r="H134" s="21"/>
      <c r="I134" s="23"/>
      <c r="K134" s="20"/>
      <c r="L134" s="9"/>
    </row>
    <row r="135" spans="1:12" s="8" customFormat="1" x14ac:dyDescent="0.25">
      <c r="A135" s="16"/>
      <c r="B135" s="17"/>
      <c r="C135" s="22"/>
      <c r="D135" s="18"/>
      <c r="E135" s="19"/>
      <c r="F135" s="23"/>
      <c r="G135" s="25"/>
      <c r="H135" s="21"/>
      <c r="I135" s="23"/>
      <c r="K135" s="20"/>
      <c r="L135" s="9"/>
    </row>
    <row r="136" spans="1:12" s="8" customFormat="1" x14ac:dyDescent="0.25">
      <c r="A136" s="16"/>
      <c r="B136" s="17"/>
      <c r="C136" s="22"/>
      <c r="D136" s="18"/>
      <c r="E136" s="19"/>
      <c r="F136" s="23"/>
      <c r="G136" s="25"/>
      <c r="H136" s="21"/>
      <c r="I136" s="23"/>
      <c r="K136" s="20"/>
      <c r="L136" s="9"/>
    </row>
    <row r="137" spans="1:12" s="8" customFormat="1" x14ac:dyDescent="0.25">
      <c r="A137" s="16"/>
      <c r="B137" s="17"/>
      <c r="C137" s="22"/>
      <c r="D137" s="18"/>
      <c r="E137" s="19"/>
      <c r="F137" s="23"/>
      <c r="G137" s="25"/>
      <c r="H137" s="21"/>
      <c r="I137" s="23"/>
      <c r="K137" s="20"/>
      <c r="L137" s="9"/>
    </row>
    <row r="138" spans="1:12" s="8" customFormat="1" x14ac:dyDescent="0.25">
      <c r="A138" s="16"/>
      <c r="B138" s="17"/>
      <c r="C138" s="22"/>
      <c r="D138" s="18"/>
      <c r="E138" s="19"/>
      <c r="F138" s="23"/>
      <c r="G138" s="25"/>
      <c r="H138" s="21"/>
      <c r="I138" s="23"/>
      <c r="K138" s="20"/>
      <c r="L138" s="9"/>
    </row>
    <row r="139" spans="1:12" s="8" customFormat="1" x14ac:dyDescent="0.25">
      <c r="A139" s="16"/>
      <c r="B139" s="17"/>
      <c r="C139" s="22"/>
      <c r="D139" s="18"/>
      <c r="E139" s="19"/>
      <c r="F139" s="23"/>
      <c r="G139" s="25"/>
      <c r="H139" s="21"/>
      <c r="I139" s="23"/>
      <c r="K139" s="20"/>
      <c r="L139" s="9"/>
    </row>
    <row r="140" spans="1:12" s="8" customFormat="1" x14ac:dyDescent="0.25">
      <c r="A140" s="16"/>
      <c r="B140" s="17"/>
      <c r="C140" s="22"/>
      <c r="D140" s="18"/>
      <c r="E140" s="19"/>
      <c r="F140" s="23"/>
      <c r="G140" s="25"/>
      <c r="H140" s="21"/>
      <c r="I140" s="23"/>
      <c r="K140" s="20"/>
      <c r="L140" s="9"/>
    </row>
    <row r="141" spans="1:12" s="8" customFormat="1" x14ac:dyDescent="0.25">
      <c r="A141" s="16"/>
      <c r="B141" s="17"/>
      <c r="C141" s="22"/>
      <c r="D141" s="18"/>
      <c r="E141" s="19"/>
      <c r="F141" s="23"/>
      <c r="G141" s="25"/>
      <c r="H141" s="21"/>
      <c r="I141" s="23"/>
      <c r="K141" s="20"/>
      <c r="L141" s="9"/>
    </row>
    <row r="142" spans="1:12" s="8" customFormat="1" x14ac:dyDescent="0.25">
      <c r="A142" s="16"/>
      <c r="B142" s="17"/>
      <c r="C142" s="22"/>
      <c r="D142" s="18"/>
      <c r="E142" s="19"/>
      <c r="F142" s="23"/>
      <c r="G142" s="25"/>
      <c r="H142" s="21"/>
      <c r="I142" s="23"/>
      <c r="K142" s="20"/>
      <c r="L142" s="9"/>
    </row>
    <row r="143" spans="1:12" s="8" customFormat="1" x14ac:dyDescent="0.25">
      <c r="A143" s="16"/>
      <c r="B143" s="17"/>
      <c r="C143" s="22"/>
      <c r="D143" s="18"/>
      <c r="E143" s="19"/>
      <c r="F143" s="23"/>
      <c r="G143" s="25"/>
      <c r="H143" s="21"/>
      <c r="I143" s="23"/>
      <c r="K143" s="20"/>
      <c r="L143" s="9"/>
    </row>
    <row r="144" spans="1:12" s="8" customFormat="1" x14ac:dyDescent="0.25">
      <c r="A144" s="16"/>
      <c r="B144" s="17"/>
      <c r="C144" s="22"/>
      <c r="D144" s="18"/>
      <c r="E144" s="19"/>
      <c r="F144" s="23"/>
      <c r="G144" s="25"/>
      <c r="H144" s="21"/>
      <c r="I144" s="23"/>
      <c r="K144" s="20"/>
      <c r="L144" s="9"/>
    </row>
    <row r="145" spans="1:12" s="8" customFormat="1" x14ac:dyDescent="0.25">
      <c r="A145" s="16"/>
      <c r="B145" s="17"/>
      <c r="C145" s="22"/>
      <c r="D145" s="18"/>
      <c r="E145" s="19"/>
      <c r="F145" s="23"/>
      <c r="G145" s="25"/>
      <c r="H145" s="21"/>
      <c r="I145" s="23"/>
      <c r="K145" s="20"/>
      <c r="L145" s="9"/>
    </row>
    <row r="146" spans="1:12" s="8" customFormat="1" x14ac:dyDescent="0.25">
      <c r="A146" s="16"/>
      <c r="B146" s="17"/>
      <c r="C146" s="22"/>
      <c r="D146" s="18"/>
      <c r="E146" s="19"/>
      <c r="F146" s="23"/>
      <c r="G146" s="25"/>
      <c r="H146" s="21"/>
      <c r="I146" s="23"/>
      <c r="K146" s="20"/>
      <c r="L146" s="9"/>
    </row>
    <row r="147" spans="1:12" s="8" customFormat="1" x14ac:dyDescent="0.25">
      <c r="A147" s="16"/>
      <c r="B147" s="17"/>
      <c r="C147" s="22"/>
      <c r="D147" s="18"/>
      <c r="E147" s="19"/>
      <c r="F147" s="23"/>
      <c r="G147" s="25"/>
      <c r="H147" s="21"/>
      <c r="I147" s="23"/>
      <c r="K147" s="20"/>
      <c r="L147" s="9"/>
    </row>
    <row r="148" spans="1:12" s="8" customFormat="1" x14ac:dyDescent="0.25">
      <c r="A148" s="16"/>
      <c r="B148" s="17"/>
      <c r="C148" s="22"/>
      <c r="D148" s="18"/>
      <c r="E148" s="19"/>
      <c r="F148" s="23"/>
      <c r="G148" s="25"/>
      <c r="H148" s="21"/>
      <c r="I148" s="23"/>
      <c r="K148" s="20"/>
      <c r="L148" s="9"/>
    </row>
    <row r="149" spans="1:12" s="8" customFormat="1" x14ac:dyDescent="0.25">
      <c r="A149" s="16"/>
      <c r="B149" s="17"/>
      <c r="C149" s="22"/>
      <c r="D149" s="18"/>
      <c r="E149" s="19"/>
      <c r="F149" s="23"/>
      <c r="G149" s="25"/>
      <c r="H149" s="21"/>
      <c r="I149" s="23"/>
      <c r="K149" s="20"/>
      <c r="L149" s="9"/>
    </row>
    <row r="150" spans="1:12" s="8" customFormat="1" x14ac:dyDescent="0.25">
      <c r="A150" s="16"/>
      <c r="B150" s="17"/>
      <c r="C150" s="22"/>
      <c r="D150" s="18"/>
      <c r="E150" s="19"/>
      <c r="F150" s="23"/>
      <c r="G150" s="25"/>
      <c r="H150" s="21"/>
      <c r="I150" s="23"/>
      <c r="K150" s="20"/>
      <c r="L150" s="9"/>
    </row>
    <row r="151" spans="1:12" s="8" customFormat="1" x14ac:dyDescent="0.25">
      <c r="A151" s="16"/>
      <c r="B151" s="17"/>
      <c r="C151" s="22"/>
      <c r="D151" s="18"/>
      <c r="E151" s="19"/>
      <c r="F151" s="23"/>
      <c r="G151" s="25"/>
      <c r="H151" s="21"/>
      <c r="I151" s="23"/>
      <c r="K151" s="20"/>
      <c r="L151" s="9"/>
    </row>
    <row r="152" spans="1:12" s="8" customFormat="1" x14ac:dyDescent="0.25">
      <c r="A152" s="16"/>
      <c r="B152" s="17"/>
      <c r="C152" s="22"/>
      <c r="D152" s="18"/>
      <c r="E152" s="19"/>
      <c r="F152" s="23"/>
      <c r="G152" s="25"/>
      <c r="H152" s="21"/>
      <c r="I152" s="23"/>
      <c r="K152" s="20"/>
      <c r="L152" s="9"/>
    </row>
    <row r="153" spans="1:12" s="8" customFormat="1" x14ac:dyDescent="0.25">
      <c r="A153" s="16"/>
      <c r="B153" s="17"/>
      <c r="C153" s="22"/>
      <c r="D153" s="18"/>
      <c r="E153" s="19"/>
      <c r="F153" s="23"/>
      <c r="G153" s="25"/>
      <c r="H153" s="21"/>
      <c r="I153" s="23"/>
      <c r="K153" s="20"/>
      <c r="L153" s="9"/>
    </row>
    <row r="154" spans="1:12" s="8" customFormat="1" x14ac:dyDescent="0.25">
      <c r="A154" s="16"/>
      <c r="B154" s="17"/>
      <c r="C154" s="22"/>
      <c r="D154" s="18"/>
      <c r="E154" s="19"/>
      <c r="F154" s="23"/>
      <c r="G154" s="25"/>
      <c r="H154" s="21"/>
      <c r="I154" s="23"/>
      <c r="K154" s="20"/>
      <c r="L154" s="9"/>
    </row>
    <row r="155" spans="1:12" s="8" customFormat="1" x14ac:dyDescent="0.25">
      <c r="A155" s="16"/>
      <c r="B155" s="17"/>
      <c r="C155" s="22"/>
      <c r="D155" s="18"/>
      <c r="E155" s="19"/>
      <c r="F155" s="23"/>
      <c r="G155" s="25"/>
      <c r="H155" s="21"/>
      <c r="I155" s="23"/>
      <c r="K155" s="20"/>
      <c r="L155" s="9"/>
    </row>
    <row r="156" spans="1:12" s="8" customFormat="1" x14ac:dyDescent="0.25">
      <c r="A156" s="16"/>
      <c r="B156" s="17"/>
      <c r="C156" s="22"/>
      <c r="D156" s="18"/>
      <c r="E156" s="19"/>
      <c r="F156" s="23"/>
      <c r="G156" s="25"/>
      <c r="H156" s="21"/>
      <c r="I156" s="23"/>
      <c r="K156" s="20"/>
      <c r="L156" s="9"/>
    </row>
    <row r="157" spans="1:12" s="8" customFormat="1" x14ac:dyDescent="0.25">
      <c r="A157" s="16"/>
      <c r="B157" s="17"/>
      <c r="C157" s="22"/>
      <c r="D157" s="18"/>
      <c r="E157" s="19"/>
      <c r="F157" s="23"/>
      <c r="G157" s="25"/>
      <c r="H157" s="21"/>
      <c r="I157" s="23"/>
      <c r="K157" s="20"/>
      <c r="L157" s="9"/>
    </row>
    <row r="158" spans="1:12" s="8" customFormat="1" x14ac:dyDescent="0.25">
      <c r="A158" s="16"/>
      <c r="B158" s="17"/>
      <c r="C158" s="22"/>
      <c r="D158" s="18"/>
      <c r="E158" s="19"/>
      <c r="F158" s="23"/>
      <c r="G158" s="25"/>
      <c r="H158" s="21"/>
      <c r="I158" s="23"/>
      <c r="K158" s="20"/>
      <c r="L158" s="9"/>
    </row>
    <row r="159" spans="1:12" s="8" customFormat="1" x14ac:dyDescent="0.25">
      <c r="A159" s="16"/>
      <c r="B159" s="17"/>
      <c r="C159" s="22"/>
      <c r="D159" s="18"/>
      <c r="E159" s="19"/>
      <c r="F159" s="23"/>
      <c r="G159" s="25"/>
      <c r="H159" s="21"/>
      <c r="I159" s="23"/>
      <c r="K159" s="20"/>
      <c r="L159" s="9"/>
    </row>
    <row r="160" spans="1:12" s="8" customFormat="1" x14ac:dyDescent="0.25">
      <c r="A160" s="16"/>
      <c r="B160" s="17"/>
      <c r="C160" s="22"/>
      <c r="D160" s="18"/>
      <c r="E160" s="19"/>
      <c r="F160" s="23"/>
      <c r="G160" s="25"/>
      <c r="H160" s="21"/>
      <c r="I160" s="23"/>
      <c r="K160" s="20"/>
      <c r="L160" s="9"/>
    </row>
    <row r="161" spans="1:12" s="8" customFormat="1" x14ac:dyDescent="0.25">
      <c r="A161" s="16"/>
      <c r="B161" s="17"/>
      <c r="C161" s="22"/>
      <c r="D161" s="18"/>
      <c r="E161" s="19"/>
      <c r="F161" s="23"/>
      <c r="G161" s="25"/>
      <c r="H161" s="21"/>
      <c r="I161" s="23"/>
      <c r="K161" s="20"/>
      <c r="L161" s="9"/>
    </row>
    <row r="162" spans="1:12" s="8" customFormat="1" x14ac:dyDescent="0.25">
      <c r="A162" s="16"/>
      <c r="B162" s="17"/>
      <c r="C162" s="22"/>
      <c r="D162" s="18"/>
      <c r="E162" s="19"/>
      <c r="F162" s="23"/>
      <c r="G162" s="25"/>
      <c r="H162" s="21"/>
      <c r="I162" s="23"/>
      <c r="K162" s="20"/>
      <c r="L162" s="9"/>
    </row>
    <row r="163" spans="1:12" s="8" customFormat="1" x14ac:dyDescent="0.25">
      <c r="A163" s="16"/>
      <c r="B163" s="17"/>
      <c r="C163" s="22"/>
      <c r="D163" s="18"/>
      <c r="E163" s="19"/>
      <c r="F163" s="23"/>
      <c r="G163" s="25"/>
      <c r="H163" s="21"/>
      <c r="I163" s="23"/>
      <c r="K163" s="20"/>
      <c r="L163" s="9"/>
    </row>
    <row r="164" spans="1:12" s="8" customFormat="1" x14ac:dyDescent="0.25">
      <c r="A164" s="16"/>
      <c r="B164" s="17"/>
      <c r="C164" s="22"/>
      <c r="D164" s="18"/>
      <c r="E164" s="19"/>
      <c r="F164" s="23"/>
      <c r="G164" s="25"/>
      <c r="H164" s="21"/>
      <c r="I164" s="23"/>
      <c r="K164" s="20"/>
      <c r="L164" s="9"/>
    </row>
    <row r="165" spans="1:12" s="8" customFormat="1" x14ac:dyDescent="0.25">
      <c r="A165" s="16"/>
      <c r="B165" s="17"/>
      <c r="C165" s="22"/>
      <c r="D165" s="18"/>
      <c r="E165" s="19"/>
      <c r="F165" s="23"/>
      <c r="G165" s="25"/>
      <c r="H165" s="21"/>
      <c r="I165" s="23"/>
      <c r="K165" s="20"/>
      <c r="L165" s="9"/>
    </row>
    <row r="166" spans="1:12" s="8" customFormat="1" x14ac:dyDescent="0.25">
      <c r="A166" s="16"/>
      <c r="B166" s="17"/>
      <c r="C166" s="22"/>
      <c r="D166" s="18"/>
      <c r="E166" s="19"/>
      <c r="F166" s="23"/>
      <c r="G166" s="25"/>
      <c r="H166" s="21"/>
      <c r="I166" s="23"/>
      <c r="K166" s="20"/>
      <c r="L166" s="9"/>
    </row>
    <row r="167" spans="1:12" s="8" customFormat="1" x14ac:dyDescent="0.25">
      <c r="A167" s="16"/>
      <c r="B167" s="17"/>
      <c r="C167" s="22"/>
      <c r="D167" s="18"/>
      <c r="E167" s="19"/>
      <c r="F167" s="23"/>
      <c r="G167" s="25"/>
      <c r="H167" s="21"/>
      <c r="I167" s="23"/>
      <c r="K167" s="20"/>
      <c r="L167" s="9"/>
    </row>
    <row r="168" spans="1:12" s="8" customFormat="1" x14ac:dyDescent="0.25">
      <c r="A168" s="16"/>
      <c r="B168" s="17"/>
      <c r="C168" s="22"/>
      <c r="D168" s="18"/>
      <c r="E168" s="19"/>
      <c r="F168" s="23"/>
      <c r="G168" s="25"/>
      <c r="H168" s="21"/>
      <c r="I168" s="23"/>
      <c r="K168" s="20"/>
      <c r="L168" s="9"/>
    </row>
    <row r="169" spans="1:12" s="8" customFormat="1" x14ac:dyDescent="0.25">
      <c r="A169" s="16"/>
      <c r="B169" s="17"/>
      <c r="C169" s="22"/>
      <c r="D169" s="18"/>
      <c r="E169" s="19"/>
      <c r="F169" s="23"/>
      <c r="G169" s="25"/>
      <c r="H169" s="21"/>
      <c r="I169" s="23"/>
      <c r="K169" s="20"/>
      <c r="L169" s="9"/>
    </row>
    <row r="170" spans="1:12" s="8" customFormat="1" x14ac:dyDescent="0.25">
      <c r="A170" s="16"/>
      <c r="B170" s="17"/>
      <c r="C170" s="22"/>
      <c r="D170" s="18"/>
      <c r="E170" s="19"/>
      <c r="F170" s="23"/>
      <c r="G170" s="25"/>
      <c r="H170" s="21"/>
      <c r="I170" s="23"/>
      <c r="K170" s="20"/>
      <c r="L170" s="9"/>
    </row>
    <row r="171" spans="1:12" s="8" customFormat="1" x14ac:dyDescent="0.25">
      <c r="A171" s="16"/>
      <c r="B171" s="17"/>
      <c r="C171" s="22"/>
      <c r="D171" s="18"/>
      <c r="E171" s="19"/>
      <c r="F171" s="23"/>
      <c r="G171" s="25"/>
      <c r="H171" s="21"/>
      <c r="I171" s="23"/>
      <c r="K171" s="20"/>
      <c r="L171" s="9"/>
    </row>
    <row r="172" spans="1:12" s="8" customFormat="1" x14ac:dyDescent="0.25">
      <c r="A172" s="16"/>
      <c r="B172" s="17"/>
      <c r="C172" s="22"/>
      <c r="D172" s="18"/>
      <c r="E172" s="19"/>
      <c r="F172" s="23"/>
      <c r="G172" s="25"/>
      <c r="H172" s="21"/>
      <c r="I172" s="23"/>
      <c r="K172" s="20"/>
      <c r="L172" s="9"/>
    </row>
    <row r="173" spans="1:12" s="8" customFormat="1" x14ac:dyDescent="0.25">
      <c r="A173" s="16"/>
      <c r="B173" s="17"/>
      <c r="C173" s="22"/>
      <c r="D173" s="18"/>
      <c r="E173" s="19"/>
      <c r="F173" s="23"/>
      <c r="G173" s="25"/>
      <c r="H173" s="21"/>
      <c r="I173" s="23"/>
      <c r="K173" s="20"/>
      <c r="L173" s="9"/>
    </row>
    <row r="174" spans="1:12" s="8" customFormat="1" x14ac:dyDescent="0.25">
      <c r="A174" s="16"/>
      <c r="B174" s="17"/>
      <c r="C174" s="22"/>
      <c r="D174" s="18"/>
      <c r="E174" s="19"/>
      <c r="F174" s="23"/>
      <c r="G174" s="25"/>
      <c r="H174" s="21"/>
      <c r="I174" s="23"/>
      <c r="K174" s="20"/>
      <c r="L174" s="9"/>
    </row>
    <row r="175" spans="1:12" s="8" customFormat="1" x14ac:dyDescent="0.25">
      <c r="A175" s="16"/>
      <c r="B175" s="17"/>
      <c r="C175" s="22"/>
      <c r="D175" s="18"/>
      <c r="E175" s="19"/>
      <c r="F175" s="23"/>
      <c r="G175" s="25"/>
      <c r="H175" s="21"/>
      <c r="I175" s="23"/>
      <c r="K175" s="20"/>
      <c r="L175" s="9"/>
    </row>
    <row r="176" spans="1:12" s="8" customFormat="1" x14ac:dyDescent="0.25">
      <c r="A176" s="16"/>
      <c r="B176" s="17"/>
      <c r="C176" s="22"/>
      <c r="D176" s="18"/>
      <c r="E176" s="19"/>
      <c r="F176" s="23"/>
      <c r="G176" s="25"/>
      <c r="H176" s="21"/>
      <c r="I176" s="23"/>
      <c r="K176" s="20"/>
      <c r="L176" s="9"/>
    </row>
    <row r="177" spans="1:12" s="8" customFormat="1" x14ac:dyDescent="0.25">
      <c r="A177" s="16"/>
      <c r="B177" s="17"/>
      <c r="C177" s="22"/>
      <c r="D177" s="18"/>
      <c r="E177" s="19"/>
      <c r="F177" s="23"/>
      <c r="G177" s="25"/>
      <c r="H177" s="21"/>
      <c r="I177" s="23"/>
      <c r="K177" s="20"/>
      <c r="L177" s="9"/>
    </row>
    <row r="178" spans="1:12" s="8" customFormat="1" x14ac:dyDescent="0.25">
      <c r="A178" s="16"/>
      <c r="B178" s="17"/>
      <c r="C178" s="22"/>
      <c r="D178" s="18"/>
      <c r="E178" s="19"/>
      <c r="F178" s="23"/>
      <c r="G178" s="25"/>
      <c r="H178" s="21"/>
      <c r="I178" s="23"/>
      <c r="K178" s="20"/>
      <c r="L178" s="9"/>
    </row>
    <row r="179" spans="1:12" s="8" customFormat="1" x14ac:dyDescent="0.25">
      <c r="A179" s="16"/>
      <c r="B179" s="17"/>
      <c r="C179" s="22"/>
      <c r="D179" s="18"/>
      <c r="E179" s="19"/>
      <c r="F179" s="23"/>
      <c r="G179" s="25"/>
      <c r="H179" s="21"/>
      <c r="I179" s="23"/>
      <c r="K179" s="20"/>
      <c r="L179" s="9"/>
    </row>
    <row r="180" spans="1:12" s="8" customFormat="1" x14ac:dyDescent="0.25">
      <c r="A180" s="16"/>
      <c r="B180" s="17"/>
      <c r="C180" s="22"/>
      <c r="D180" s="18"/>
      <c r="E180" s="19"/>
      <c r="F180" s="23"/>
      <c r="G180" s="25"/>
      <c r="H180" s="21"/>
      <c r="I180" s="23"/>
      <c r="K180" s="20"/>
      <c r="L180" s="9"/>
    </row>
    <row r="181" spans="1:12" s="8" customFormat="1" x14ac:dyDescent="0.25">
      <c r="A181" s="16"/>
      <c r="B181" s="17"/>
      <c r="C181" s="22"/>
      <c r="D181" s="18"/>
      <c r="E181" s="19"/>
      <c r="F181" s="23"/>
      <c r="G181" s="25"/>
      <c r="H181" s="21"/>
      <c r="I181" s="23"/>
      <c r="K181" s="20"/>
      <c r="L181" s="9"/>
    </row>
    <row r="182" spans="1:12" s="8" customFormat="1" x14ac:dyDescent="0.25">
      <c r="A182" s="16"/>
      <c r="B182" s="17"/>
      <c r="C182" s="22"/>
      <c r="D182" s="18"/>
      <c r="E182" s="19"/>
      <c r="F182" s="23"/>
      <c r="G182" s="25"/>
      <c r="H182" s="21"/>
      <c r="I182" s="23"/>
      <c r="K182" s="20"/>
      <c r="L182" s="9"/>
    </row>
    <row r="183" spans="1:12" s="8" customFormat="1" x14ac:dyDescent="0.25">
      <c r="A183" s="16"/>
      <c r="B183" s="17"/>
      <c r="C183" s="22"/>
      <c r="D183" s="18"/>
      <c r="E183" s="19"/>
      <c r="F183" s="23"/>
      <c r="G183" s="25"/>
      <c r="H183" s="21"/>
      <c r="I183" s="23"/>
      <c r="K183" s="20"/>
      <c r="L183" s="9"/>
    </row>
    <row r="184" spans="1:12" s="8" customFormat="1" x14ac:dyDescent="0.25">
      <c r="A184" s="16"/>
      <c r="B184" s="17"/>
      <c r="C184" s="22"/>
      <c r="D184" s="18"/>
      <c r="E184" s="19"/>
      <c r="F184" s="23"/>
      <c r="G184" s="25"/>
      <c r="H184" s="21"/>
      <c r="I184" s="23"/>
      <c r="K184" s="20"/>
      <c r="L184" s="9"/>
    </row>
    <row r="185" spans="1:12" s="8" customFormat="1" x14ac:dyDescent="0.25">
      <c r="A185" s="16"/>
      <c r="B185" s="17"/>
      <c r="C185" s="22"/>
      <c r="D185" s="18"/>
      <c r="E185" s="19"/>
      <c r="F185" s="23"/>
      <c r="G185" s="25"/>
      <c r="H185" s="21"/>
      <c r="I185" s="23"/>
      <c r="K185" s="20"/>
      <c r="L185" s="9"/>
    </row>
    <row r="186" spans="1:12" s="8" customFormat="1" x14ac:dyDescent="0.25">
      <c r="A186" s="16"/>
      <c r="B186" s="17"/>
      <c r="C186" s="22"/>
      <c r="D186" s="18"/>
      <c r="E186" s="19"/>
      <c r="F186" s="23"/>
      <c r="G186" s="25"/>
      <c r="H186" s="21"/>
      <c r="I186" s="23"/>
      <c r="K186" s="20"/>
      <c r="L186" s="9"/>
    </row>
    <row r="187" spans="1:12" s="8" customFormat="1" x14ac:dyDescent="0.25">
      <c r="A187" s="16"/>
      <c r="B187" s="17"/>
      <c r="C187" s="22"/>
      <c r="D187" s="18"/>
      <c r="E187" s="19"/>
      <c r="F187" s="23"/>
      <c r="G187" s="25"/>
      <c r="H187" s="21"/>
      <c r="I187" s="23"/>
      <c r="K187" s="20"/>
      <c r="L187" s="9"/>
    </row>
    <row r="188" spans="1:12" s="8" customFormat="1" x14ac:dyDescent="0.25">
      <c r="A188" s="16"/>
      <c r="B188" s="17"/>
      <c r="C188" s="22"/>
      <c r="D188" s="18"/>
      <c r="E188" s="19"/>
      <c r="F188" s="23"/>
      <c r="G188" s="25"/>
      <c r="H188" s="21"/>
      <c r="I188" s="23"/>
      <c r="K188" s="20"/>
      <c r="L188" s="9"/>
    </row>
    <row r="189" spans="1:12" s="8" customFormat="1" x14ac:dyDescent="0.25">
      <c r="A189" s="16"/>
      <c r="B189" s="17"/>
      <c r="C189" s="22"/>
      <c r="D189" s="18"/>
      <c r="E189" s="19"/>
      <c r="F189" s="23"/>
      <c r="G189" s="25"/>
      <c r="H189" s="21"/>
      <c r="I189" s="23"/>
      <c r="K189" s="20"/>
      <c r="L189" s="9"/>
    </row>
    <row r="190" spans="1:12" s="8" customFormat="1" x14ac:dyDescent="0.25">
      <c r="A190" s="16"/>
      <c r="B190" s="17"/>
      <c r="C190" s="22"/>
      <c r="D190" s="18"/>
      <c r="E190" s="19"/>
      <c r="F190" s="23"/>
      <c r="G190" s="25"/>
      <c r="H190" s="21"/>
      <c r="I190" s="23"/>
      <c r="K190" s="20"/>
      <c r="L190" s="9"/>
    </row>
    <row r="191" spans="1:12" s="8" customFormat="1" x14ac:dyDescent="0.25">
      <c r="A191" s="16"/>
      <c r="B191" s="17"/>
      <c r="C191" s="22"/>
      <c r="D191" s="18"/>
      <c r="E191" s="19"/>
      <c r="F191" s="23"/>
      <c r="G191" s="25"/>
      <c r="H191" s="21"/>
      <c r="I191" s="23"/>
      <c r="K191" s="20"/>
      <c r="L191" s="9"/>
    </row>
    <row r="192" spans="1:12" s="8" customFormat="1" x14ac:dyDescent="0.25">
      <c r="A192" s="16"/>
      <c r="B192" s="17"/>
      <c r="C192" s="22"/>
      <c r="D192" s="18"/>
      <c r="E192" s="19"/>
      <c r="F192" s="23"/>
      <c r="G192" s="25"/>
      <c r="H192" s="21"/>
      <c r="I192" s="23"/>
      <c r="K192" s="20"/>
      <c r="L192" s="9"/>
    </row>
    <row r="193" spans="1:12" s="8" customFormat="1" x14ac:dyDescent="0.25">
      <c r="A193" s="16"/>
      <c r="B193" s="17"/>
      <c r="C193" s="22"/>
      <c r="D193" s="18"/>
      <c r="E193" s="19"/>
      <c r="F193" s="23"/>
      <c r="G193" s="25"/>
      <c r="H193" s="21"/>
      <c r="I193" s="23"/>
      <c r="K193" s="20"/>
      <c r="L193" s="9"/>
    </row>
    <row r="194" spans="1:12" s="8" customFormat="1" x14ac:dyDescent="0.25">
      <c r="A194" s="16"/>
      <c r="B194" s="17"/>
      <c r="C194" s="22"/>
      <c r="D194" s="18"/>
      <c r="E194" s="19"/>
      <c r="F194" s="23"/>
      <c r="G194" s="25"/>
      <c r="H194" s="21"/>
      <c r="I194" s="23"/>
      <c r="K194" s="20"/>
      <c r="L194" s="9"/>
    </row>
    <row r="195" spans="1:12" s="8" customFormat="1" x14ac:dyDescent="0.25">
      <c r="A195" s="16"/>
      <c r="B195" s="17"/>
      <c r="C195" s="22"/>
      <c r="D195" s="18"/>
      <c r="E195" s="19"/>
      <c r="F195" s="23"/>
      <c r="G195" s="25"/>
      <c r="H195" s="21"/>
      <c r="I195" s="23"/>
      <c r="K195" s="20"/>
      <c r="L195" s="9"/>
    </row>
    <row r="196" spans="1:12" s="8" customFormat="1" x14ac:dyDescent="0.25">
      <c r="A196" s="16"/>
      <c r="B196" s="17"/>
      <c r="C196" s="22"/>
      <c r="D196" s="18"/>
      <c r="E196" s="19"/>
      <c r="F196" s="23"/>
      <c r="G196" s="25"/>
      <c r="H196" s="21"/>
      <c r="I196" s="23"/>
      <c r="K196" s="20"/>
      <c r="L196" s="9"/>
    </row>
    <row r="197" spans="1:12" s="8" customFormat="1" x14ac:dyDescent="0.25">
      <c r="A197" s="16"/>
      <c r="B197" s="17"/>
      <c r="C197" s="22"/>
      <c r="D197" s="18"/>
      <c r="E197" s="19"/>
      <c r="F197" s="23"/>
      <c r="G197" s="25"/>
      <c r="H197" s="21"/>
      <c r="I197" s="23"/>
      <c r="K197" s="20"/>
      <c r="L197" s="9"/>
    </row>
    <row r="198" spans="1:12" s="8" customFormat="1" x14ac:dyDescent="0.25">
      <c r="A198" s="16"/>
      <c r="B198" s="17"/>
      <c r="C198" s="22"/>
      <c r="D198" s="18"/>
      <c r="E198" s="19"/>
      <c r="F198" s="23"/>
      <c r="G198" s="25"/>
      <c r="H198" s="21"/>
      <c r="I198" s="23"/>
      <c r="K198" s="20"/>
      <c r="L198" s="9"/>
    </row>
    <row r="199" spans="1:12" s="8" customFormat="1" x14ac:dyDescent="0.25">
      <c r="A199" s="16"/>
      <c r="B199" s="17"/>
      <c r="C199" s="22"/>
      <c r="D199" s="18"/>
      <c r="E199" s="19"/>
      <c r="F199" s="23"/>
      <c r="G199" s="25"/>
      <c r="H199" s="21"/>
      <c r="I199" s="23"/>
      <c r="K199" s="20"/>
      <c r="L199" s="9"/>
    </row>
    <row r="200" spans="1:12" s="8" customFormat="1" x14ac:dyDescent="0.25">
      <c r="A200" s="16"/>
      <c r="B200" s="17"/>
      <c r="C200" s="22"/>
      <c r="D200" s="18"/>
      <c r="E200" s="19"/>
      <c r="F200" s="23"/>
      <c r="G200" s="25"/>
      <c r="H200" s="21"/>
      <c r="I200" s="23"/>
      <c r="K200" s="20"/>
      <c r="L200" s="9"/>
    </row>
    <row r="201" spans="1:12" s="8" customFormat="1" x14ac:dyDescent="0.25">
      <c r="A201" s="16"/>
      <c r="B201" s="17"/>
      <c r="C201" s="22"/>
      <c r="D201" s="18"/>
      <c r="E201" s="19"/>
      <c r="F201" s="23"/>
      <c r="G201" s="25"/>
      <c r="H201" s="21"/>
      <c r="I201" s="23"/>
      <c r="K201" s="20"/>
      <c r="L201" s="9"/>
    </row>
    <row r="202" spans="1:12" s="8" customFormat="1" x14ac:dyDescent="0.25">
      <c r="A202" s="16"/>
      <c r="B202" s="17"/>
      <c r="C202" s="22"/>
      <c r="D202" s="18"/>
      <c r="E202" s="19"/>
      <c r="F202" s="23"/>
      <c r="G202" s="25"/>
      <c r="H202" s="21"/>
      <c r="I202" s="23"/>
      <c r="K202" s="20"/>
      <c r="L202" s="9"/>
    </row>
    <row r="203" spans="1:12" s="8" customFormat="1" x14ac:dyDescent="0.25">
      <c r="A203" s="16"/>
      <c r="B203" s="17"/>
      <c r="C203" s="22"/>
      <c r="D203" s="18"/>
      <c r="E203" s="19"/>
      <c r="F203" s="23"/>
      <c r="G203" s="25"/>
      <c r="H203" s="21"/>
      <c r="I203" s="23"/>
      <c r="K203" s="20"/>
      <c r="L203" s="9"/>
    </row>
    <row r="204" spans="1:12" s="8" customFormat="1" x14ac:dyDescent="0.25">
      <c r="A204" s="16"/>
      <c r="B204" s="17"/>
      <c r="C204" s="22"/>
      <c r="D204" s="18"/>
      <c r="E204" s="19"/>
      <c r="F204" s="23"/>
      <c r="G204" s="25"/>
      <c r="H204" s="21"/>
      <c r="I204" s="23"/>
      <c r="K204" s="20"/>
      <c r="L204" s="9"/>
    </row>
    <row r="205" spans="1:12" s="8" customFormat="1" x14ac:dyDescent="0.25">
      <c r="A205" s="16"/>
      <c r="B205" s="17"/>
      <c r="C205" s="22"/>
      <c r="D205" s="18"/>
      <c r="E205" s="19"/>
      <c r="F205" s="23"/>
      <c r="G205" s="25"/>
      <c r="H205" s="21"/>
      <c r="I205" s="23"/>
      <c r="K205" s="20"/>
      <c r="L205" s="9"/>
    </row>
    <row r="206" spans="1:12" s="8" customFormat="1" x14ac:dyDescent="0.25">
      <c r="A206" s="16"/>
      <c r="B206" s="17"/>
      <c r="C206" s="22"/>
      <c r="D206" s="18"/>
      <c r="E206" s="19"/>
      <c r="F206" s="23"/>
      <c r="G206" s="25"/>
      <c r="H206" s="21"/>
      <c r="I206" s="23"/>
      <c r="K206" s="20"/>
      <c r="L206" s="9"/>
    </row>
    <row r="207" spans="1:12" s="8" customFormat="1" x14ac:dyDescent="0.25">
      <c r="A207" s="16"/>
      <c r="B207" s="17"/>
      <c r="C207" s="22"/>
      <c r="D207" s="18"/>
      <c r="E207" s="19"/>
      <c r="F207" s="23"/>
      <c r="G207" s="25"/>
      <c r="H207" s="21"/>
      <c r="I207" s="23"/>
      <c r="K207" s="20"/>
      <c r="L207" s="9"/>
    </row>
    <row r="208" spans="1:12" s="8" customFormat="1" x14ac:dyDescent="0.25">
      <c r="A208" s="16"/>
      <c r="B208" s="17"/>
      <c r="C208" s="22"/>
      <c r="D208" s="18"/>
      <c r="E208" s="19"/>
      <c r="F208" s="23"/>
      <c r="G208" s="25"/>
      <c r="H208" s="21"/>
      <c r="I208" s="23"/>
      <c r="K208" s="20"/>
      <c r="L208" s="9"/>
    </row>
    <row r="209" spans="1:12" s="8" customFormat="1" x14ac:dyDescent="0.25">
      <c r="A209" s="16"/>
      <c r="B209" s="17"/>
      <c r="C209" s="22"/>
      <c r="D209" s="18"/>
      <c r="E209" s="19"/>
      <c r="F209" s="23"/>
      <c r="G209" s="25"/>
      <c r="H209" s="21"/>
      <c r="I209" s="23"/>
      <c r="K209" s="20"/>
      <c r="L209" s="9"/>
    </row>
    <row r="210" spans="1:12" s="8" customFormat="1" x14ac:dyDescent="0.25">
      <c r="A210" s="16"/>
      <c r="B210" s="17"/>
      <c r="C210" s="22"/>
      <c r="D210" s="18"/>
      <c r="E210" s="19"/>
      <c r="F210" s="23"/>
      <c r="G210" s="25"/>
      <c r="H210" s="21"/>
      <c r="I210" s="23"/>
      <c r="K210" s="20"/>
      <c r="L210" s="9"/>
    </row>
    <row r="211" spans="1:12" s="8" customFormat="1" x14ac:dyDescent="0.25">
      <c r="A211" s="16"/>
      <c r="B211" s="17"/>
      <c r="C211" s="22"/>
      <c r="D211" s="18"/>
      <c r="E211" s="19"/>
      <c r="F211" s="23"/>
      <c r="G211" s="25"/>
      <c r="H211" s="21"/>
      <c r="I211" s="23"/>
      <c r="K211" s="20"/>
      <c r="L211" s="9"/>
    </row>
    <row r="212" spans="1:12" s="8" customFormat="1" x14ac:dyDescent="0.25">
      <c r="A212" s="16"/>
      <c r="B212" s="17"/>
      <c r="C212" s="22"/>
      <c r="D212" s="18"/>
      <c r="E212" s="19"/>
      <c r="F212" s="23"/>
      <c r="G212" s="25"/>
      <c r="H212" s="21"/>
      <c r="I212" s="23"/>
      <c r="K212" s="20"/>
      <c r="L212" s="9"/>
    </row>
    <row r="213" spans="1:12" s="8" customFormat="1" x14ac:dyDescent="0.25">
      <c r="A213" s="16"/>
      <c r="B213" s="17"/>
      <c r="C213" s="22"/>
      <c r="D213" s="18"/>
      <c r="E213" s="19"/>
      <c r="F213" s="23"/>
      <c r="G213" s="25"/>
      <c r="H213" s="21"/>
      <c r="I213" s="23"/>
      <c r="K213" s="20"/>
      <c r="L213" s="9"/>
    </row>
    <row r="214" spans="1:12" s="8" customFormat="1" x14ac:dyDescent="0.25">
      <c r="A214" s="16"/>
      <c r="B214" s="17"/>
      <c r="C214" s="22"/>
      <c r="D214" s="18"/>
      <c r="E214" s="19"/>
      <c r="F214" s="23"/>
      <c r="G214" s="25"/>
      <c r="H214" s="21"/>
      <c r="I214" s="23"/>
      <c r="K214" s="20"/>
      <c r="L214" s="9"/>
    </row>
    <row r="215" spans="1:12" s="8" customFormat="1" x14ac:dyDescent="0.25">
      <c r="A215" s="16"/>
      <c r="B215" s="17"/>
      <c r="C215" s="22"/>
      <c r="D215" s="18"/>
      <c r="E215" s="19"/>
      <c r="F215" s="23"/>
      <c r="G215" s="25"/>
      <c r="H215" s="21"/>
      <c r="I215" s="23"/>
      <c r="K215" s="20"/>
      <c r="L215" s="9"/>
    </row>
    <row r="216" spans="1:12" s="8" customFormat="1" x14ac:dyDescent="0.25">
      <c r="A216" s="16"/>
      <c r="B216" s="17"/>
      <c r="C216" s="22"/>
      <c r="D216" s="18"/>
      <c r="E216" s="19"/>
      <c r="F216" s="23"/>
      <c r="G216" s="25"/>
      <c r="H216" s="21"/>
      <c r="I216" s="23"/>
      <c r="K216" s="20"/>
      <c r="L216" s="9"/>
    </row>
    <row r="217" spans="1:12" s="8" customFormat="1" x14ac:dyDescent="0.25">
      <c r="A217" s="16"/>
      <c r="B217" s="17"/>
      <c r="C217" s="22"/>
      <c r="D217" s="18"/>
      <c r="E217" s="19"/>
      <c r="F217" s="23"/>
      <c r="G217" s="25"/>
      <c r="H217" s="21"/>
      <c r="I217" s="23"/>
      <c r="K217" s="20"/>
      <c r="L217" s="9"/>
    </row>
    <row r="218" spans="1:12" s="8" customFormat="1" x14ac:dyDescent="0.25">
      <c r="A218" s="16"/>
      <c r="B218" s="17"/>
      <c r="C218" s="22"/>
      <c r="D218" s="18"/>
      <c r="E218" s="19"/>
      <c r="F218" s="23"/>
      <c r="G218" s="25"/>
      <c r="H218" s="21"/>
      <c r="I218" s="23"/>
      <c r="K218" s="20"/>
      <c r="L218" s="9"/>
    </row>
    <row r="219" spans="1:12" s="8" customFormat="1" x14ac:dyDescent="0.25">
      <c r="A219" s="16"/>
      <c r="B219" s="17"/>
      <c r="C219" s="22"/>
      <c r="D219" s="18"/>
      <c r="E219" s="19"/>
      <c r="F219" s="23"/>
      <c r="G219" s="25"/>
      <c r="H219" s="21"/>
      <c r="I219" s="23"/>
      <c r="K219" s="20"/>
      <c r="L219" s="9"/>
    </row>
    <row r="220" spans="1:12" s="8" customFormat="1" x14ac:dyDescent="0.25">
      <c r="A220" s="16"/>
      <c r="B220" s="17"/>
      <c r="C220" s="22"/>
      <c r="D220" s="18"/>
      <c r="E220" s="19"/>
      <c r="F220" s="23"/>
      <c r="G220" s="25"/>
      <c r="H220" s="21"/>
      <c r="I220" s="23"/>
      <c r="K220" s="20"/>
      <c r="L220" s="9"/>
    </row>
    <row r="221" spans="1:12" s="8" customFormat="1" x14ac:dyDescent="0.25">
      <c r="A221" s="16"/>
      <c r="B221" s="17"/>
      <c r="C221" s="22"/>
      <c r="D221" s="18"/>
      <c r="E221" s="19"/>
      <c r="F221" s="23"/>
      <c r="G221" s="25"/>
      <c r="H221" s="21"/>
      <c r="I221" s="23"/>
      <c r="K221" s="20"/>
      <c r="L221" s="9"/>
    </row>
    <row r="222" spans="1:12" s="8" customFormat="1" x14ac:dyDescent="0.25">
      <c r="A222" s="16"/>
      <c r="B222" s="17"/>
      <c r="C222" s="22"/>
      <c r="D222" s="18"/>
      <c r="E222" s="19"/>
      <c r="F222" s="23"/>
      <c r="G222" s="25"/>
      <c r="H222" s="21"/>
      <c r="I222" s="23"/>
      <c r="K222" s="20"/>
      <c r="L222" s="9"/>
    </row>
    <row r="223" spans="1:12" s="8" customFormat="1" x14ac:dyDescent="0.25">
      <c r="A223" s="16"/>
      <c r="B223" s="17"/>
      <c r="C223" s="22"/>
      <c r="D223" s="18"/>
      <c r="E223" s="19"/>
      <c r="F223" s="23"/>
      <c r="G223" s="25"/>
      <c r="H223" s="21"/>
      <c r="I223" s="23"/>
      <c r="K223" s="20"/>
      <c r="L223" s="9"/>
    </row>
    <row r="224" spans="1:12" s="8" customFormat="1" x14ac:dyDescent="0.25">
      <c r="A224" s="16"/>
      <c r="B224" s="17"/>
      <c r="C224" s="22"/>
      <c r="D224" s="18"/>
      <c r="E224" s="19"/>
      <c r="F224" s="23"/>
      <c r="G224" s="25"/>
      <c r="H224" s="21"/>
      <c r="I224" s="23"/>
      <c r="K224" s="20"/>
      <c r="L224" s="9"/>
    </row>
    <row r="225" spans="1:12" s="8" customFormat="1" x14ac:dyDescent="0.25">
      <c r="A225" s="16"/>
      <c r="B225" s="17"/>
      <c r="C225" s="22"/>
      <c r="D225" s="18"/>
      <c r="E225" s="19"/>
      <c r="F225" s="23"/>
      <c r="G225" s="25"/>
      <c r="H225" s="21"/>
      <c r="I225" s="23"/>
      <c r="K225" s="20"/>
      <c r="L225" s="9"/>
    </row>
    <row r="226" spans="1:12" s="8" customFormat="1" x14ac:dyDescent="0.25">
      <c r="A226" s="16"/>
      <c r="B226" s="17"/>
      <c r="C226" s="22"/>
      <c r="D226" s="18"/>
      <c r="E226" s="19"/>
      <c r="F226" s="23"/>
      <c r="G226" s="25"/>
      <c r="H226" s="21"/>
      <c r="I226" s="23"/>
      <c r="K226" s="20"/>
      <c r="L226" s="9"/>
    </row>
    <row r="227" spans="1:12" s="8" customFormat="1" x14ac:dyDescent="0.25">
      <c r="A227" s="16"/>
      <c r="B227" s="17"/>
      <c r="C227" s="22"/>
      <c r="D227" s="18"/>
      <c r="E227" s="19"/>
      <c r="F227" s="23"/>
      <c r="G227" s="25"/>
      <c r="H227" s="21"/>
      <c r="I227" s="23"/>
      <c r="K227" s="20"/>
      <c r="L227" s="9"/>
    </row>
    <row r="228" spans="1:12" s="8" customFormat="1" x14ac:dyDescent="0.25">
      <c r="A228" s="16"/>
      <c r="B228" s="17"/>
      <c r="C228" s="22"/>
      <c r="D228" s="18"/>
      <c r="E228" s="19"/>
      <c r="F228" s="23"/>
      <c r="G228" s="25"/>
      <c r="H228" s="21"/>
      <c r="I228" s="23"/>
      <c r="K228" s="20"/>
      <c r="L228" s="9"/>
    </row>
    <row r="229" spans="1:12" s="8" customFormat="1" x14ac:dyDescent="0.25">
      <c r="A229" s="16"/>
      <c r="B229" s="17"/>
      <c r="C229" s="22"/>
      <c r="D229" s="18"/>
      <c r="E229" s="19"/>
      <c r="F229" s="23"/>
      <c r="G229" s="25"/>
      <c r="H229" s="21"/>
      <c r="I229" s="23"/>
      <c r="K229" s="20"/>
      <c r="L229" s="9"/>
    </row>
    <row r="230" spans="1:12" s="8" customFormat="1" x14ac:dyDescent="0.25">
      <c r="A230" s="16"/>
      <c r="B230" s="17"/>
      <c r="C230" s="22"/>
      <c r="D230" s="18"/>
      <c r="E230" s="19"/>
      <c r="F230" s="23"/>
      <c r="G230" s="25"/>
      <c r="H230" s="21"/>
      <c r="I230" s="23"/>
      <c r="K230" s="20"/>
      <c r="L230" s="9"/>
    </row>
    <row r="231" spans="1:12" s="8" customFormat="1" x14ac:dyDescent="0.25">
      <c r="A231" s="16"/>
      <c r="B231" s="17"/>
      <c r="C231" s="22"/>
      <c r="D231" s="18"/>
      <c r="E231" s="19"/>
      <c r="F231" s="23"/>
      <c r="G231" s="25"/>
      <c r="H231" s="21"/>
      <c r="I231" s="23"/>
      <c r="K231" s="20"/>
      <c r="L231" s="9"/>
    </row>
    <row r="232" spans="1:12" s="8" customFormat="1" x14ac:dyDescent="0.25">
      <c r="A232" s="16"/>
      <c r="B232" s="17"/>
      <c r="C232" s="22"/>
      <c r="D232" s="18"/>
      <c r="E232" s="19"/>
      <c r="F232" s="23"/>
      <c r="G232" s="25"/>
      <c r="H232" s="21"/>
      <c r="I232" s="23"/>
      <c r="K232" s="20"/>
      <c r="L232" s="9"/>
    </row>
    <row r="233" spans="1:12" s="8" customFormat="1" x14ac:dyDescent="0.25">
      <c r="A233" s="16"/>
      <c r="B233" s="17"/>
      <c r="C233" s="22"/>
      <c r="D233" s="18"/>
      <c r="E233" s="19"/>
      <c r="F233" s="23"/>
      <c r="G233" s="25"/>
      <c r="H233" s="21"/>
      <c r="I233" s="23"/>
      <c r="K233" s="20"/>
      <c r="L233" s="9"/>
    </row>
    <row r="234" spans="1:12" s="8" customFormat="1" x14ac:dyDescent="0.25">
      <c r="A234" s="16"/>
      <c r="B234" s="17"/>
      <c r="C234" s="22"/>
      <c r="D234" s="18"/>
      <c r="E234" s="19"/>
      <c r="F234" s="23"/>
      <c r="G234" s="25"/>
      <c r="H234" s="21"/>
      <c r="I234" s="23"/>
      <c r="K234" s="20"/>
      <c r="L234" s="9"/>
    </row>
    <row r="235" spans="1:12" s="8" customFormat="1" x14ac:dyDescent="0.25">
      <c r="A235" s="16"/>
      <c r="B235" s="17"/>
      <c r="C235" s="22"/>
      <c r="D235" s="18"/>
      <c r="E235" s="19"/>
      <c r="F235" s="23"/>
      <c r="G235" s="25"/>
      <c r="H235" s="21"/>
      <c r="I235" s="23"/>
      <c r="K235" s="20"/>
      <c r="L235" s="9"/>
    </row>
    <row r="236" spans="1:12" s="8" customFormat="1" x14ac:dyDescent="0.25">
      <c r="A236" s="16"/>
      <c r="B236" s="17"/>
      <c r="C236" s="22"/>
      <c r="D236" s="18"/>
      <c r="E236" s="19"/>
      <c r="F236" s="23"/>
      <c r="G236" s="25"/>
      <c r="H236" s="21"/>
      <c r="I236" s="23"/>
      <c r="K236" s="20"/>
      <c r="L236" s="9"/>
    </row>
    <row r="237" spans="1:12" s="8" customFormat="1" x14ac:dyDescent="0.25">
      <c r="A237" s="16"/>
      <c r="B237" s="17"/>
      <c r="C237" s="22"/>
      <c r="D237" s="18"/>
      <c r="E237" s="19"/>
      <c r="F237" s="23"/>
      <c r="G237" s="25"/>
      <c r="H237" s="21"/>
      <c r="I237" s="23"/>
      <c r="K237" s="20"/>
      <c r="L237" s="9"/>
    </row>
    <row r="238" spans="1:12" s="8" customFormat="1" x14ac:dyDescent="0.25">
      <c r="A238" s="16"/>
      <c r="B238" s="17"/>
      <c r="C238" s="22"/>
      <c r="D238" s="18"/>
      <c r="E238" s="19"/>
      <c r="F238" s="23"/>
      <c r="G238" s="25"/>
      <c r="H238" s="21"/>
      <c r="I238" s="23"/>
      <c r="K238" s="20"/>
      <c r="L238" s="9"/>
    </row>
    <row r="239" spans="1:12" s="8" customFormat="1" x14ac:dyDescent="0.25">
      <c r="A239" s="16"/>
      <c r="B239" s="17"/>
      <c r="C239" s="22"/>
      <c r="D239" s="18"/>
      <c r="E239" s="19"/>
      <c r="F239" s="23"/>
      <c r="G239" s="25"/>
      <c r="H239" s="21"/>
      <c r="I239" s="23"/>
      <c r="K239" s="20"/>
      <c r="L239" s="9"/>
    </row>
    <row r="240" spans="1:12" s="8" customFormat="1" x14ac:dyDescent="0.25">
      <c r="A240" s="16"/>
      <c r="B240" s="17"/>
      <c r="C240" s="22"/>
      <c r="D240" s="18"/>
      <c r="E240" s="19"/>
      <c r="F240" s="23"/>
      <c r="G240" s="25"/>
      <c r="H240" s="21"/>
      <c r="I240" s="23"/>
      <c r="K240" s="20"/>
      <c r="L240" s="9"/>
    </row>
    <row r="241" spans="1:12" s="8" customFormat="1" x14ac:dyDescent="0.25">
      <c r="A241" s="16"/>
      <c r="B241" s="17"/>
      <c r="C241" s="22"/>
      <c r="D241" s="18"/>
      <c r="E241" s="19"/>
      <c r="F241" s="23"/>
      <c r="G241" s="25"/>
      <c r="H241" s="21"/>
      <c r="I241" s="23"/>
      <c r="K241" s="20"/>
      <c r="L241" s="9"/>
    </row>
    <row r="242" spans="1:12" s="8" customFormat="1" x14ac:dyDescent="0.25">
      <c r="A242" s="16"/>
      <c r="B242" s="17"/>
      <c r="C242" s="22"/>
      <c r="D242" s="18"/>
      <c r="E242" s="19"/>
      <c r="F242" s="23"/>
      <c r="G242" s="25"/>
      <c r="H242" s="21"/>
      <c r="I242" s="23"/>
      <c r="K242" s="20"/>
      <c r="L242" s="9"/>
    </row>
    <row r="243" spans="1:12" s="8" customFormat="1" x14ac:dyDescent="0.25">
      <c r="A243" s="16"/>
      <c r="B243" s="17"/>
      <c r="C243" s="22"/>
      <c r="D243" s="18"/>
      <c r="E243" s="19"/>
      <c r="F243" s="23"/>
      <c r="G243" s="25"/>
      <c r="H243" s="21"/>
      <c r="I243" s="23"/>
      <c r="K243" s="20"/>
      <c r="L243" s="9"/>
    </row>
    <row r="244" spans="1:12" s="8" customFormat="1" x14ac:dyDescent="0.25">
      <c r="A244" s="16"/>
      <c r="B244" s="17"/>
      <c r="C244" s="22"/>
      <c r="D244" s="18"/>
      <c r="E244" s="19"/>
      <c r="F244" s="23"/>
      <c r="G244" s="25"/>
      <c r="H244" s="21"/>
      <c r="I244" s="23"/>
      <c r="K244" s="20"/>
      <c r="L244" s="9"/>
    </row>
    <row r="245" spans="1:12" s="8" customFormat="1" x14ac:dyDescent="0.25">
      <c r="A245" s="16"/>
      <c r="B245" s="17"/>
      <c r="C245" s="22"/>
      <c r="D245" s="18"/>
      <c r="E245" s="19"/>
      <c r="F245" s="23"/>
      <c r="G245" s="25"/>
      <c r="H245" s="21"/>
      <c r="I245" s="23"/>
      <c r="K245" s="20"/>
      <c r="L245" s="9"/>
    </row>
    <row r="246" spans="1:12" s="8" customFormat="1" x14ac:dyDescent="0.25">
      <c r="A246" s="16"/>
      <c r="B246" s="17"/>
      <c r="C246" s="22"/>
      <c r="D246" s="18"/>
      <c r="E246" s="19"/>
      <c r="F246" s="23"/>
      <c r="G246" s="25"/>
      <c r="H246" s="21"/>
      <c r="I246" s="23"/>
      <c r="K246" s="20"/>
      <c r="L246" s="9"/>
    </row>
    <row r="247" spans="1:12" s="8" customFormat="1" x14ac:dyDescent="0.25">
      <c r="A247" s="16"/>
      <c r="B247" s="17"/>
      <c r="C247" s="22"/>
      <c r="D247" s="18"/>
      <c r="E247" s="19"/>
      <c r="F247" s="23"/>
      <c r="G247" s="25"/>
      <c r="H247" s="21"/>
      <c r="I247" s="23"/>
      <c r="K247" s="20"/>
      <c r="L247" s="9"/>
    </row>
    <row r="248" spans="1:12" s="8" customFormat="1" x14ac:dyDescent="0.25">
      <c r="A248" s="16"/>
      <c r="B248" s="17"/>
      <c r="C248" s="22"/>
      <c r="D248" s="18"/>
      <c r="E248" s="19"/>
      <c r="F248" s="23"/>
      <c r="G248" s="25"/>
      <c r="H248" s="21"/>
      <c r="I248" s="23"/>
      <c r="K248" s="20"/>
      <c r="L248" s="9"/>
    </row>
    <row r="249" spans="1:12" s="8" customFormat="1" x14ac:dyDescent="0.25">
      <c r="A249" s="16"/>
      <c r="B249" s="17"/>
      <c r="C249" s="22"/>
      <c r="D249" s="18"/>
      <c r="E249" s="19"/>
      <c r="F249" s="23"/>
      <c r="G249" s="25"/>
      <c r="H249" s="21"/>
      <c r="I249" s="23"/>
      <c r="K249" s="20"/>
      <c r="L249" s="9"/>
    </row>
    <row r="250" spans="1:12" s="8" customFormat="1" x14ac:dyDescent="0.25">
      <c r="A250" s="16"/>
      <c r="B250" s="17"/>
      <c r="C250" s="22"/>
      <c r="D250" s="18"/>
      <c r="E250" s="19"/>
      <c r="F250" s="23"/>
      <c r="G250" s="25"/>
      <c r="H250" s="21"/>
      <c r="I250" s="23"/>
      <c r="K250" s="20"/>
      <c r="L250" s="9"/>
    </row>
  </sheetData>
  <autoFilter ref="A1:N11">
    <sortState ref="A2:Q81">
      <sortCondition ref="D1:D11"/>
    </sortState>
  </autoFilter>
  <conditionalFormatting sqref="J1:XFD1 A1:E1 G1:H1">
    <cfRule type="beginsWith" dxfId="19" priority="45" operator="beginsWith" text="[K_">
      <formula>LEFT(A1,LEN("[K_"))="[K_"</formula>
    </cfRule>
  </conditionalFormatting>
  <conditionalFormatting sqref="I1">
    <cfRule type="beginsWith" dxfId="18" priority="34" operator="beginsWith" text="[K_">
      <formula>LEFT(I1,LEN("[K_"))="[K_"</formula>
    </cfRule>
  </conditionalFormatting>
  <conditionalFormatting sqref="D107:D173 D1:D3 D7:D76 D251:D1048576">
    <cfRule type="duplicateValues" dxfId="17" priority="29"/>
  </conditionalFormatting>
  <conditionalFormatting sqref="D87:D106">
    <cfRule type="duplicateValues" dxfId="16" priority="25"/>
  </conditionalFormatting>
  <conditionalFormatting sqref="D77:D79 D81:D86">
    <cfRule type="duplicateValues" dxfId="15" priority="74"/>
  </conditionalFormatting>
  <conditionalFormatting sqref="C1:C3 C251:C1048576 C71 C75 C79 C83 C87 C91 C95 C99 C103 C107 C111 C115 C119 C123 C127 C131 C135 C139 C143 C147 C151 C155 C159 C163 C167 C171 C7 C11 C15 C19 C23 C27 C31 C35 C39 C43 C47 C51 C55 C59 C63 C67">
    <cfRule type="duplicateValues" dxfId="14" priority="19"/>
  </conditionalFormatting>
  <conditionalFormatting sqref="D80">
    <cfRule type="duplicateValues" dxfId="13" priority="16"/>
  </conditionalFormatting>
  <conditionalFormatting sqref="D4">
    <cfRule type="duplicateValues" dxfId="12" priority="13"/>
  </conditionalFormatting>
  <conditionalFormatting sqref="C4 C72 C76 C80 C84 C88 C92 C96 C100 C104 C108 C112 C116 C120 C124 C128 C132 C136 C140 C144 C148 C152 C156 C160 C164 C168 C172 C8 C12 C16 C20 C24 C28 C32 C36 C40 C44 C48 C52 C56 C60 C64 C68">
    <cfRule type="duplicateValues" dxfId="11" priority="12"/>
  </conditionalFormatting>
  <conditionalFormatting sqref="D5:D6">
    <cfRule type="duplicateValues" dxfId="10" priority="9"/>
  </conditionalFormatting>
  <conditionalFormatting sqref="C5:C6 C73:C74 C77:C78 C81:C82 C85:C86 C89:C90 C93:C94 C97:C98 C101:C102 C105:C106 C109:C110 C113:C114 C117:C118 C121:C122 C125:C126 C129:C130 C133:C134 C137:C138 C141:C142 C145:C146 C149:C150 C153:C154 C157:C158 C161:C162 C165:C166 C169:C170 C173 C9:C10 C13:C14 C17:C18 C21:C22 C25:C26 C29:C30 C33:C34 C37:C38 C41:C42 C45:C46 C49:C50 C53:C54 C57:C58 C61:C62 C65:C66 C69:C70">
    <cfRule type="duplicateValues" dxfId="9" priority="8"/>
  </conditionalFormatting>
  <conditionalFormatting sqref="G3:H3 G5 G7 G9 G11 G13 G15 G17 G19 G21 G23 G25 G27 G29 G31 G33 G35 G37 G39 G41 G43 G45 G47 G49 G51 G53 G55 G57 G59 G61 G63 G65 G67 G69 B3:B70">
    <cfRule type="beginsWith" dxfId="8" priority="36" operator="beginsWith" text="[K_">
      <formula>LEFT(#REF!,LEN("[K_"))="[K_"</formula>
    </cfRule>
  </conditionalFormatting>
  <conditionalFormatting sqref="G4:H4 G6 G8 G10 G12 G14 G16 G18 G20 G22 G24 G26 G28 G30 G32 G34 G36 G38 G40 G42 G44 G46 G48 G50 G52 G54 G56 G58 G60 G62 G64 G66 G68 G70 H5:H70">
    <cfRule type="beginsWith" dxfId="7" priority="14" operator="beginsWith" text="[K_">
      <formula>LEFT(#REF!,LEN("[K_"))="[K_"</formula>
    </cfRule>
  </conditionalFormatting>
  <conditionalFormatting sqref="G71:H173 B71:B173">
    <cfRule type="beginsWith" dxfId="6" priority="10" operator="beginsWith" text="[K_">
      <formula>LEFT(#REF!,LEN("[K_"))="[K_"</formula>
    </cfRule>
  </conditionalFormatting>
  <conditionalFormatting sqref="D174:D250">
    <cfRule type="duplicateValues" dxfId="5" priority="6"/>
  </conditionalFormatting>
  <conditionalFormatting sqref="C174:C250">
    <cfRule type="duplicateValues" dxfId="4" priority="4"/>
  </conditionalFormatting>
  <conditionalFormatting sqref="G174:H250 B174:B250">
    <cfRule type="beginsWith" dxfId="3" priority="5" operator="beginsWith" text="[K_">
      <formula>LEFT(#REF!,LEN("[K_"))="[K_"</formula>
    </cfRule>
  </conditionalFormatting>
  <conditionalFormatting sqref="F1">
    <cfRule type="beginsWith" dxfId="0" priority="1" operator="beginsWith" text="[K_">
      <formula>LEFT(F1,LEN("[K_"))="[K_"</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F70"/>
  <sheetViews>
    <sheetView tabSelected="1" workbookViewId="0">
      <selection activeCell="H11" sqref="H11"/>
    </sheetView>
  </sheetViews>
  <sheetFormatPr defaultRowHeight="15" x14ac:dyDescent="0.25"/>
  <cols>
    <col min="3" max="3" width="17.28515625" bestFit="1" customWidth="1"/>
    <col min="5" max="5" width="22.28515625" bestFit="1" customWidth="1"/>
  </cols>
  <sheetData>
    <row r="3" spans="2:6" x14ac:dyDescent="0.25">
      <c r="C3" t="s">
        <v>82</v>
      </c>
      <c r="E3" t="s">
        <v>92</v>
      </c>
    </row>
    <row r="4" spans="2:6" x14ac:dyDescent="0.25">
      <c r="B4">
        <v>10</v>
      </c>
      <c r="C4" t="s">
        <v>83</v>
      </c>
      <c r="E4" t="s">
        <v>10</v>
      </c>
      <c r="F4">
        <v>70</v>
      </c>
    </row>
    <row r="5" spans="2:6" x14ac:dyDescent="0.25">
      <c r="B5">
        <v>20</v>
      </c>
      <c r="C5" t="s">
        <v>84</v>
      </c>
      <c r="E5" t="s">
        <v>11</v>
      </c>
      <c r="F5">
        <v>70</v>
      </c>
    </row>
    <row r="6" spans="2:6" x14ac:dyDescent="0.25">
      <c r="B6">
        <v>30</v>
      </c>
      <c r="C6" t="s">
        <v>85</v>
      </c>
      <c r="E6" t="s">
        <v>12</v>
      </c>
      <c r="F6">
        <v>70</v>
      </c>
    </row>
    <row r="7" spans="2:6" x14ac:dyDescent="0.25">
      <c r="B7">
        <v>40</v>
      </c>
      <c r="C7" t="s">
        <v>86</v>
      </c>
      <c r="E7" t="s">
        <v>13</v>
      </c>
      <c r="F7">
        <v>70</v>
      </c>
    </row>
    <row r="8" spans="2:6" x14ac:dyDescent="0.25">
      <c r="B8">
        <v>50</v>
      </c>
      <c r="C8" t="s">
        <v>87</v>
      </c>
      <c r="E8" t="s">
        <v>14</v>
      </c>
      <c r="F8">
        <v>60</v>
      </c>
    </row>
    <row r="9" spans="2:6" x14ac:dyDescent="0.25">
      <c r="B9">
        <v>60</v>
      </c>
      <c r="C9" t="s">
        <v>88</v>
      </c>
      <c r="E9" t="s">
        <v>15</v>
      </c>
      <c r="F9">
        <v>60</v>
      </c>
    </row>
    <row r="10" spans="2:6" x14ac:dyDescent="0.25">
      <c r="B10">
        <v>70</v>
      </c>
      <c r="C10" t="s">
        <v>89</v>
      </c>
      <c r="E10" t="s">
        <v>16</v>
      </c>
      <c r="F10">
        <v>60</v>
      </c>
    </row>
    <row r="11" spans="2:6" x14ac:dyDescent="0.25">
      <c r="B11">
        <v>80</v>
      </c>
      <c r="C11" t="s">
        <v>90</v>
      </c>
      <c r="E11" t="s">
        <v>17</v>
      </c>
      <c r="F11">
        <v>20</v>
      </c>
    </row>
    <row r="12" spans="2:6" x14ac:dyDescent="0.25">
      <c r="B12">
        <v>90</v>
      </c>
      <c r="C12" t="s">
        <v>91</v>
      </c>
      <c r="E12" t="s">
        <v>18</v>
      </c>
      <c r="F12">
        <v>20</v>
      </c>
    </row>
    <row r="13" spans="2:6" x14ac:dyDescent="0.25">
      <c r="E13" t="s">
        <v>19</v>
      </c>
      <c r="F13">
        <v>20</v>
      </c>
    </row>
    <row r="14" spans="2:6" x14ac:dyDescent="0.25">
      <c r="E14" t="s">
        <v>20</v>
      </c>
      <c r="F14">
        <v>60</v>
      </c>
    </row>
    <row r="15" spans="2:6" x14ac:dyDescent="0.25">
      <c r="E15" t="s">
        <v>21</v>
      </c>
      <c r="F15">
        <v>60</v>
      </c>
    </row>
    <row r="16" spans="2:6" x14ac:dyDescent="0.25">
      <c r="E16" t="s">
        <v>22</v>
      </c>
      <c r="F16">
        <v>10</v>
      </c>
    </row>
    <row r="17" spans="5:6" x14ac:dyDescent="0.25">
      <c r="E17" t="s">
        <v>23</v>
      </c>
      <c r="F17">
        <v>60</v>
      </c>
    </row>
    <row r="18" spans="5:6" x14ac:dyDescent="0.25">
      <c r="E18" t="s">
        <v>24</v>
      </c>
      <c r="F18">
        <v>60</v>
      </c>
    </row>
    <row r="19" spans="5:6" x14ac:dyDescent="0.25">
      <c r="E19" t="s">
        <v>25</v>
      </c>
      <c r="F19">
        <v>20</v>
      </c>
    </row>
    <row r="20" spans="5:6" x14ac:dyDescent="0.25">
      <c r="E20" t="s">
        <v>26</v>
      </c>
      <c r="F20">
        <v>40</v>
      </c>
    </row>
    <row r="21" spans="5:6" x14ac:dyDescent="0.25">
      <c r="E21" t="s">
        <v>27</v>
      </c>
      <c r="F21">
        <v>80</v>
      </c>
    </row>
    <row r="22" spans="5:6" x14ac:dyDescent="0.25">
      <c r="E22" t="s">
        <v>28</v>
      </c>
      <c r="F22">
        <v>40</v>
      </c>
    </row>
    <row r="23" spans="5:6" x14ac:dyDescent="0.25">
      <c r="E23" t="s">
        <v>29</v>
      </c>
      <c r="F23">
        <v>70</v>
      </c>
    </row>
    <row r="24" spans="5:6" x14ac:dyDescent="0.25">
      <c r="E24" t="s">
        <v>30</v>
      </c>
      <c r="F24">
        <v>40</v>
      </c>
    </row>
    <row r="25" spans="5:6" x14ac:dyDescent="0.25">
      <c r="E25" t="s">
        <v>31</v>
      </c>
      <c r="F25">
        <v>60</v>
      </c>
    </row>
    <row r="26" spans="5:6" x14ac:dyDescent="0.25">
      <c r="E26" t="s">
        <v>32</v>
      </c>
      <c r="F26">
        <v>10</v>
      </c>
    </row>
    <row r="27" spans="5:6" x14ac:dyDescent="0.25">
      <c r="E27" t="s">
        <v>33</v>
      </c>
      <c r="F27">
        <v>60</v>
      </c>
    </row>
    <row r="28" spans="5:6" x14ac:dyDescent="0.25">
      <c r="E28" t="s">
        <v>34</v>
      </c>
      <c r="F28">
        <v>10</v>
      </c>
    </row>
    <row r="29" spans="5:6" x14ac:dyDescent="0.25">
      <c r="E29" t="s">
        <v>35</v>
      </c>
      <c r="F29">
        <v>20</v>
      </c>
    </row>
    <row r="30" spans="5:6" x14ac:dyDescent="0.25">
      <c r="E30" t="s">
        <v>36</v>
      </c>
      <c r="F30">
        <v>30</v>
      </c>
    </row>
    <row r="31" spans="5:6" x14ac:dyDescent="0.25">
      <c r="E31" t="s">
        <v>37</v>
      </c>
      <c r="F31">
        <v>30</v>
      </c>
    </row>
    <row r="32" spans="5:6" x14ac:dyDescent="0.25">
      <c r="E32" t="s">
        <v>38</v>
      </c>
      <c r="F32">
        <v>30</v>
      </c>
    </row>
    <row r="33" spans="5:6" x14ac:dyDescent="0.25">
      <c r="E33" t="s">
        <v>39</v>
      </c>
      <c r="F33">
        <v>60</v>
      </c>
    </row>
    <row r="34" spans="5:6" x14ac:dyDescent="0.25">
      <c r="E34" t="s">
        <v>40</v>
      </c>
      <c r="F34">
        <v>90</v>
      </c>
    </row>
    <row r="35" spans="5:6" x14ac:dyDescent="0.25">
      <c r="E35" t="s">
        <v>41</v>
      </c>
      <c r="F35">
        <v>60</v>
      </c>
    </row>
    <row r="36" spans="5:6" x14ac:dyDescent="0.25">
      <c r="E36" t="s">
        <v>42</v>
      </c>
      <c r="F36">
        <v>10</v>
      </c>
    </row>
    <row r="37" spans="5:6" x14ac:dyDescent="0.25">
      <c r="E37" t="s">
        <v>43</v>
      </c>
      <c r="F37">
        <v>10</v>
      </c>
    </row>
    <row r="38" spans="5:6" x14ac:dyDescent="0.25">
      <c r="E38" t="s">
        <v>44</v>
      </c>
      <c r="F38">
        <v>50</v>
      </c>
    </row>
    <row r="39" spans="5:6" x14ac:dyDescent="0.25">
      <c r="E39" t="s">
        <v>45</v>
      </c>
      <c r="F39">
        <v>40</v>
      </c>
    </row>
    <row r="40" spans="5:6" x14ac:dyDescent="0.25">
      <c r="E40" t="s">
        <v>46</v>
      </c>
      <c r="F40">
        <v>10</v>
      </c>
    </row>
    <row r="41" spans="5:6" x14ac:dyDescent="0.25">
      <c r="E41" t="s">
        <v>47</v>
      </c>
      <c r="F41">
        <v>50</v>
      </c>
    </row>
    <row r="42" spans="5:6" x14ac:dyDescent="0.25">
      <c r="E42" t="s">
        <v>48</v>
      </c>
      <c r="F42">
        <v>50</v>
      </c>
    </row>
    <row r="43" spans="5:6" x14ac:dyDescent="0.25">
      <c r="E43" t="s">
        <v>49</v>
      </c>
      <c r="F43">
        <v>50</v>
      </c>
    </row>
    <row r="44" spans="5:6" x14ac:dyDescent="0.25">
      <c r="E44" t="s">
        <v>50</v>
      </c>
      <c r="F44">
        <v>50</v>
      </c>
    </row>
    <row r="45" spans="5:6" x14ac:dyDescent="0.25">
      <c r="E45" t="s">
        <v>51</v>
      </c>
      <c r="F45">
        <v>40</v>
      </c>
    </row>
    <row r="46" spans="5:6" x14ac:dyDescent="0.25">
      <c r="E46" t="s">
        <v>52</v>
      </c>
      <c r="F46">
        <v>20</v>
      </c>
    </row>
    <row r="47" spans="5:6" x14ac:dyDescent="0.25">
      <c r="E47" t="s">
        <v>53</v>
      </c>
      <c r="F47">
        <v>60</v>
      </c>
    </row>
    <row r="48" spans="5:6" x14ac:dyDescent="0.25">
      <c r="E48" t="s">
        <v>54</v>
      </c>
      <c r="F48">
        <v>20</v>
      </c>
    </row>
    <row r="49" spans="5:6" x14ac:dyDescent="0.25">
      <c r="E49" t="s">
        <v>55</v>
      </c>
      <c r="F49">
        <v>60</v>
      </c>
    </row>
    <row r="50" spans="5:6" x14ac:dyDescent="0.25">
      <c r="E50" t="s">
        <v>56</v>
      </c>
      <c r="F50">
        <v>70</v>
      </c>
    </row>
    <row r="51" spans="5:6" x14ac:dyDescent="0.25">
      <c r="E51" t="s">
        <v>57</v>
      </c>
      <c r="F51">
        <v>70</v>
      </c>
    </row>
    <row r="52" spans="5:6" x14ac:dyDescent="0.25">
      <c r="E52" t="s">
        <v>58</v>
      </c>
      <c r="F52">
        <v>40</v>
      </c>
    </row>
    <row r="53" spans="5:6" x14ac:dyDescent="0.25">
      <c r="E53" t="s">
        <v>59</v>
      </c>
      <c r="F53">
        <v>60</v>
      </c>
    </row>
    <row r="54" spans="5:6" x14ac:dyDescent="0.25">
      <c r="E54" t="s">
        <v>60</v>
      </c>
      <c r="F54">
        <v>90</v>
      </c>
    </row>
    <row r="55" spans="5:6" x14ac:dyDescent="0.25">
      <c r="E55" t="s">
        <v>61</v>
      </c>
      <c r="F55">
        <v>90</v>
      </c>
    </row>
    <row r="56" spans="5:6" x14ac:dyDescent="0.25">
      <c r="E56" t="s">
        <v>62</v>
      </c>
      <c r="F56">
        <v>90</v>
      </c>
    </row>
    <row r="57" spans="5:6" x14ac:dyDescent="0.25">
      <c r="E57" t="s">
        <v>63</v>
      </c>
      <c r="F57">
        <v>80</v>
      </c>
    </row>
    <row r="58" spans="5:6" x14ac:dyDescent="0.25">
      <c r="E58" t="s">
        <v>64</v>
      </c>
      <c r="F58">
        <v>80</v>
      </c>
    </row>
    <row r="59" spans="5:6" x14ac:dyDescent="0.25">
      <c r="E59" t="s">
        <v>65</v>
      </c>
      <c r="F59">
        <v>60</v>
      </c>
    </row>
    <row r="60" spans="5:6" x14ac:dyDescent="0.25">
      <c r="E60" t="s">
        <v>66</v>
      </c>
      <c r="F60">
        <v>90</v>
      </c>
    </row>
    <row r="61" spans="5:6" x14ac:dyDescent="0.25">
      <c r="E61" t="s">
        <v>67</v>
      </c>
      <c r="F61">
        <v>20</v>
      </c>
    </row>
    <row r="62" spans="5:6" x14ac:dyDescent="0.25">
      <c r="E62" t="s">
        <v>68</v>
      </c>
      <c r="F62">
        <v>80</v>
      </c>
    </row>
    <row r="63" spans="5:6" x14ac:dyDescent="0.25">
      <c r="E63" t="s">
        <v>69</v>
      </c>
      <c r="F63">
        <v>80</v>
      </c>
    </row>
    <row r="64" spans="5:6" x14ac:dyDescent="0.25">
      <c r="E64" t="s">
        <v>70</v>
      </c>
      <c r="F64">
        <v>30</v>
      </c>
    </row>
    <row r="65" spans="5:6" x14ac:dyDescent="0.25">
      <c r="E65" t="s">
        <v>71</v>
      </c>
      <c r="F65">
        <v>60</v>
      </c>
    </row>
    <row r="66" spans="5:6" x14ac:dyDescent="0.25">
      <c r="E66" t="s">
        <v>72</v>
      </c>
      <c r="F66">
        <v>80</v>
      </c>
    </row>
    <row r="67" spans="5:6" x14ac:dyDescent="0.25">
      <c r="E67" t="s">
        <v>73</v>
      </c>
      <c r="F67">
        <v>30</v>
      </c>
    </row>
    <row r="68" spans="5:6" x14ac:dyDescent="0.25">
      <c r="E68" t="s">
        <v>74</v>
      </c>
      <c r="F68">
        <v>80</v>
      </c>
    </row>
    <row r="69" spans="5:6" x14ac:dyDescent="0.25">
      <c r="E69" t="s">
        <v>75</v>
      </c>
      <c r="F69">
        <v>50</v>
      </c>
    </row>
    <row r="70" spans="5:6" x14ac:dyDescent="0.25">
      <c r="E70" t="s">
        <v>76</v>
      </c>
      <c r="F70">
        <v>50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CI_</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de la Rosa</dc:creator>
  <cp:lastModifiedBy>AX DE LA ROSA</cp:lastModifiedBy>
  <dcterms:created xsi:type="dcterms:W3CDTF">2018-09-05T16:16:25Z</dcterms:created>
  <dcterms:modified xsi:type="dcterms:W3CDTF">2020-03-23T14:55:22Z</dcterms:modified>
</cp:coreProperties>
</file>