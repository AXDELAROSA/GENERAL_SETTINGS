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IT\001_DEVELOPER_FILES\GitHub\GENERAL_SETTINGS\Scripts_R001_SYS_TAG_X_FORMA\"/>
    </mc:Choice>
  </mc:AlternateContent>
  <bookViews>
    <workbookView xWindow="0" yWindow="0" windowWidth="24000" windowHeight="9600"/>
  </bookViews>
  <sheets>
    <sheet name="CI_" sheetId="4" r:id="rId1"/>
    <sheet name="usuarios totales" sheetId="1" r:id="rId2"/>
    <sheet name="Sheet1" sheetId="3" r:id="rId3"/>
    <sheet name="usuario_para_baja" sheetId="2" r:id="rId4"/>
  </sheets>
  <definedNames>
    <definedName name="_xlnm._FilterDatabase" localSheetId="0" hidden="1">CI_!$A$1:$R$78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4" i="4" l="1"/>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3" i="4"/>
  <c r="O2" i="4" l="1"/>
  <c r="R1" i="4"/>
</calcChain>
</file>

<file path=xl/sharedStrings.xml><?xml version="1.0" encoding="utf-8"?>
<sst xmlns="http://schemas.openxmlformats.org/spreadsheetml/2006/main" count="1140" uniqueCount="410">
  <si>
    <t>K_USUARIO_PEARL</t>
  </si>
  <si>
    <t>D_USUARIO_PEARL</t>
  </si>
  <si>
    <t>PASSWORD_USUARIO_PEARL</t>
  </si>
  <si>
    <t>CORREO_USUARIO_PEARL</t>
  </si>
  <si>
    <t>USUARIO_TIPO</t>
  </si>
  <si>
    <t>TEMA_USUARIO_PEARL</t>
  </si>
  <si>
    <t>K_EMPLEADO_PEARL</t>
  </si>
  <si>
    <t>C_USUARIO_PEARL</t>
  </si>
  <si>
    <t>L_USUARIO_PEARL</t>
  </si>
  <si>
    <t xml:space="preserve">RAFAELF             </t>
  </si>
  <si>
    <t xml:space="preserve">killer         </t>
  </si>
  <si>
    <t xml:space="preserve">RAFAELF@PEARLLEATHER.COM.MX   </t>
  </si>
  <si>
    <t>A1</t>
  </si>
  <si>
    <t xml:space="preserve">RED PLANET.ISL                </t>
  </si>
  <si>
    <t xml:space="preserve">OMARD               </t>
  </si>
  <si>
    <t xml:space="preserve">OMARD@PEARLLEATHER.COM.MX     </t>
  </si>
  <si>
    <t>Q1</t>
  </si>
  <si>
    <t xml:space="preserve">JORGEH              </t>
  </si>
  <si>
    <t xml:space="preserve">jorgeh         </t>
  </si>
  <si>
    <t xml:space="preserve">JORGEH@PEARLLEATHER.COM.MX    </t>
  </si>
  <si>
    <t>U2</t>
  </si>
  <si>
    <t xml:space="preserve">FLAT NATURE.ISL               </t>
  </si>
  <si>
    <t xml:space="preserve">GUILLERMOM          </t>
  </si>
  <si>
    <t xml:space="preserve">nicole         </t>
  </si>
  <si>
    <t>GUILLERMOM@PEARLLEATHER.COM.MX</t>
  </si>
  <si>
    <t>U1</t>
  </si>
  <si>
    <t xml:space="preserve">PEDROV              </t>
  </si>
  <si>
    <t xml:space="preserve">Saver10*       </t>
  </si>
  <si>
    <t xml:space="preserve">PEDROV@PEARLLEATHER.COM.MX    </t>
  </si>
  <si>
    <t xml:space="preserve">MIGUELC             </t>
  </si>
  <si>
    <t xml:space="preserve">Dalica9905     </t>
  </si>
  <si>
    <t xml:space="preserve">MIGUELC@PEARLLEATHER.COM.MX   </t>
  </si>
  <si>
    <t xml:space="preserve">IVAND               </t>
  </si>
  <si>
    <t xml:space="preserve">IVAND@PEARLLEATHER.COM.MX     </t>
  </si>
  <si>
    <t xml:space="preserve">U </t>
  </si>
  <si>
    <t xml:space="preserve">IG STYLE.ISL                  </t>
  </si>
  <si>
    <t xml:space="preserve">OSCART              </t>
  </si>
  <si>
    <t xml:space="preserve">OSCART@PEARLLEATHER.COM.MX    </t>
  </si>
  <si>
    <t xml:space="preserve">NATILUS.ISL                   </t>
  </si>
  <si>
    <t xml:space="preserve">RECIBO1             </t>
  </si>
  <si>
    <t xml:space="preserve">PEDROA@PEARLLEATHER.COM.MX    </t>
  </si>
  <si>
    <t xml:space="preserve">RECIBO2             </t>
  </si>
  <si>
    <t xml:space="preserve">THE BLUES.ISL                 </t>
  </si>
  <si>
    <t xml:space="preserve">GILBERTOV           </t>
  </si>
  <si>
    <t xml:space="preserve">Alexander1     </t>
  </si>
  <si>
    <t xml:space="preserve">GILBERTOV@PEARLLEATHER.COM.MX </t>
  </si>
  <si>
    <t xml:space="preserve">MANUELG             </t>
  </si>
  <si>
    <t xml:space="preserve">Mangar83       </t>
  </si>
  <si>
    <t xml:space="preserve">MANUELG@PEARLLEATHER.COM.MX   </t>
  </si>
  <si>
    <t xml:space="preserve">FABIOLAG            </t>
  </si>
  <si>
    <t xml:space="preserve">fabiola        </t>
  </si>
  <si>
    <t xml:space="preserve">FABIOLAG@PEARLLEATHER.COM.MX  </t>
  </si>
  <si>
    <t xml:space="preserve">DIANAS              </t>
  </si>
  <si>
    <t xml:space="preserve">@PEARLLEATHER.COM.MX          </t>
  </si>
  <si>
    <t xml:space="preserve">ALEJANDROP          </t>
  </si>
  <si>
    <t xml:space="preserve">alex           </t>
  </si>
  <si>
    <t>EMBARQUES1@PEARLLEATHER.COM.MX</t>
  </si>
  <si>
    <t xml:space="preserve">ADRIANAD            </t>
  </si>
  <si>
    <t xml:space="preserve">adriana        </t>
  </si>
  <si>
    <t xml:space="preserve">ADRIANAD@PEARLLEATHER.COM.MX  </t>
  </si>
  <si>
    <t xml:space="preserve">PATRICIAC           </t>
  </si>
  <si>
    <t xml:space="preserve">mebi1625       </t>
  </si>
  <si>
    <t xml:space="preserve">PATRICIAC@PEARLLEATHER.COM.MX </t>
  </si>
  <si>
    <t xml:space="preserve">LUISP               </t>
  </si>
  <si>
    <t xml:space="preserve">luis           </t>
  </si>
  <si>
    <t xml:space="preserve">LUISP@PEARLLEATHER.COM.MX     </t>
  </si>
  <si>
    <t>luis perez</t>
  </si>
  <si>
    <t xml:space="preserve">LEONORH             </t>
  </si>
  <si>
    <t xml:space="preserve">LEONORH@PEARLLEATHER.COM.MX   </t>
  </si>
  <si>
    <t>P1</t>
  </si>
  <si>
    <t xml:space="preserve">KARENE              </t>
  </si>
  <si>
    <t xml:space="preserve">RECIBO@PEARLLEATHER.COM.MX    </t>
  </si>
  <si>
    <t xml:space="preserve">GASPARH             </t>
  </si>
  <si>
    <t xml:space="preserve">GASPARH@PEARLLEATHER.COM.MX   </t>
  </si>
  <si>
    <t xml:space="preserve">ARMIDAH             </t>
  </si>
  <si>
    <t xml:space="preserve">ARMIDAH@PEARLLEATHER.COM.MX   </t>
  </si>
  <si>
    <t xml:space="preserve">MARIAS              </t>
  </si>
  <si>
    <t xml:space="preserve">MARIAS@PEARLLEATHER.COM.MX    </t>
  </si>
  <si>
    <t xml:space="preserve">FERNANDOG           </t>
  </si>
  <si>
    <t xml:space="preserve">ferny          </t>
  </si>
  <si>
    <t xml:space="preserve">FERNANDOG@PEARLLEATHER.COM.MX </t>
  </si>
  <si>
    <t xml:space="preserve">NAVIDR              </t>
  </si>
  <si>
    <t xml:space="preserve">kgi01!         </t>
  </si>
  <si>
    <t xml:space="preserve">NAVID@RACHMANTECH.COM         </t>
  </si>
  <si>
    <t xml:space="preserve">ROXANAL             </t>
  </si>
  <si>
    <t xml:space="preserve">YAMILEXQ            </t>
  </si>
  <si>
    <t xml:space="preserve">YAMILEXQ@PEARLLEATHER.COM.MX  </t>
  </si>
  <si>
    <t xml:space="preserve">KARENA              </t>
  </si>
  <si>
    <t xml:space="preserve">KARENA@PEARLLEATHER.COM.MX    </t>
  </si>
  <si>
    <t xml:space="preserve">NOIR MODERNE.ISL              </t>
  </si>
  <si>
    <t xml:space="preserve">GENAROH             </t>
  </si>
  <si>
    <t xml:space="preserve">DANAC               </t>
  </si>
  <si>
    <t xml:space="preserve">CERTI@PEARLLEATHER.COM.MX     </t>
  </si>
  <si>
    <t xml:space="preserve">MARIANAC            </t>
  </si>
  <si>
    <t>mariana castro</t>
  </si>
  <si>
    <t xml:space="preserve">JORGEO              </t>
  </si>
  <si>
    <t xml:space="preserve">calidad.30     </t>
  </si>
  <si>
    <t xml:space="preserve">JOLEGARIO@PEARLLEATHER.COM.MX </t>
  </si>
  <si>
    <t xml:space="preserve">DIANAN              </t>
  </si>
  <si>
    <t xml:space="preserve">Facturas1      </t>
  </si>
  <si>
    <t xml:space="preserve">SISTEMAS            </t>
  </si>
  <si>
    <t xml:space="preserve">m@ster++       </t>
  </si>
  <si>
    <t xml:space="preserve">SISTEMAS@PEARLLEATHER.COM.MX  </t>
  </si>
  <si>
    <t xml:space="preserve">VIVIANAC            </t>
  </si>
  <si>
    <t xml:space="preserve">VIVIANC@PEARLLEATHER.COM.MX   </t>
  </si>
  <si>
    <t xml:space="preserve">TANIAC              </t>
  </si>
  <si>
    <t xml:space="preserve">BLACK STYLE.ISL               </t>
  </si>
  <si>
    <t xml:space="preserve">JOSES               </t>
  </si>
  <si>
    <t xml:space="preserve">jose48320031   </t>
  </si>
  <si>
    <t xml:space="preserve">JOSES@PEARLLEATHER.COM.MX     </t>
  </si>
  <si>
    <t xml:space="preserve">MARIAR              </t>
  </si>
  <si>
    <t xml:space="preserve">MARIAR@PEARLLEATHER.COM.MX    </t>
  </si>
  <si>
    <t>maria romo</t>
  </si>
  <si>
    <t xml:space="preserve">FRANCISCOM          </t>
  </si>
  <si>
    <t xml:space="preserve">cuarris987     </t>
  </si>
  <si>
    <t xml:space="preserve">SANTOSR             </t>
  </si>
  <si>
    <t xml:space="preserve">SANTOSR@PEARLLEATHER.COM.MX   </t>
  </si>
  <si>
    <t xml:space="preserve">ELENAR              </t>
  </si>
  <si>
    <t xml:space="preserve">ELENAR@PEARLLEATHER.COM.MX    </t>
  </si>
  <si>
    <t>I1</t>
  </si>
  <si>
    <t>elena rodriguez</t>
  </si>
  <si>
    <t xml:space="preserve">MONICAG             </t>
  </si>
  <si>
    <t xml:space="preserve">LEYVERR             </t>
  </si>
  <si>
    <t>leyver roblero</t>
  </si>
  <si>
    <t xml:space="preserve">EDGARA              </t>
  </si>
  <si>
    <t xml:space="preserve">SUPERVISOR          </t>
  </si>
  <si>
    <t xml:space="preserve">super10        </t>
  </si>
  <si>
    <t xml:space="preserve">XX@PEARLLEATHER.COM.MX        </t>
  </si>
  <si>
    <t xml:space="preserve">VICTORC             </t>
  </si>
  <si>
    <t xml:space="preserve">Password1      </t>
  </si>
  <si>
    <t xml:space="preserve">VICTORC@PEARLLEATHER.COM.MX   </t>
  </si>
  <si>
    <t xml:space="preserve">ASIFUENTES          </t>
  </si>
  <si>
    <t xml:space="preserve">ALBERTOS@PEARLLEATHER.COM.MX  </t>
  </si>
  <si>
    <t xml:space="preserve">FRAYJ               </t>
  </si>
  <si>
    <t xml:space="preserve">FRAYJ@PEARLLEATHER.COM.MX     </t>
  </si>
  <si>
    <t>fray jimenez</t>
  </si>
  <si>
    <t xml:space="preserve">ADRIANAI            </t>
  </si>
  <si>
    <t xml:space="preserve">ADRIANAI@PEARLLEATHER.COM.MX  </t>
  </si>
  <si>
    <t xml:space="preserve">ALMAZ               </t>
  </si>
  <si>
    <t xml:space="preserve">MISTIC BROWN.ISL              </t>
  </si>
  <si>
    <t>alma zuniga</t>
  </si>
  <si>
    <t xml:space="preserve">ERNESTOG            </t>
  </si>
  <si>
    <t xml:space="preserve">*eder0607      </t>
  </si>
  <si>
    <t xml:space="preserve">ERNESTOG@PEARLLEATHER.COM.MX  </t>
  </si>
  <si>
    <t xml:space="preserve">BLACK.ISL                     </t>
  </si>
  <si>
    <t>ernesto gaytan</t>
  </si>
  <si>
    <t xml:space="preserve">JOSUEC              </t>
  </si>
  <si>
    <t xml:space="preserve">JOSUEC@PEARLLEATHER.COM.MX    </t>
  </si>
  <si>
    <t>josue chavez</t>
  </si>
  <si>
    <t xml:space="preserve">SONIAO              </t>
  </si>
  <si>
    <t xml:space="preserve">SONIAO@PEARLLEATHER.COM.MX    </t>
  </si>
  <si>
    <t xml:space="preserve">PERLAH              </t>
  </si>
  <si>
    <t xml:space="preserve">ALFREDOA            </t>
  </si>
  <si>
    <t xml:space="preserve">saiddamian     </t>
  </si>
  <si>
    <t xml:space="preserve">LUZM                </t>
  </si>
  <si>
    <t xml:space="preserve">LUZM@PEARLLEATHER.COM.MX      </t>
  </si>
  <si>
    <t xml:space="preserve">JESUSR              </t>
  </si>
  <si>
    <t xml:space="preserve">JESUSR@PEARLLEATHER.COM.MX    </t>
  </si>
  <si>
    <t>jesus rojero</t>
  </si>
  <si>
    <t xml:space="preserve">JORGEN              </t>
  </si>
  <si>
    <t xml:space="preserve">ADRIANN@PEARLLEATHER.COM.MX   </t>
  </si>
  <si>
    <t xml:space="preserve">IRISE               </t>
  </si>
  <si>
    <t xml:space="preserve">IRISE@PEARLLEATHER.COM.MX     </t>
  </si>
  <si>
    <t xml:space="preserve">ANAHIG              </t>
  </si>
  <si>
    <t xml:space="preserve">MARIOS              </t>
  </si>
  <si>
    <t xml:space="preserve">MARIOS@PEARLLEATHER.COM.MX    </t>
  </si>
  <si>
    <t xml:space="preserve">JESUST              </t>
  </si>
  <si>
    <t xml:space="preserve">TERESAJ             </t>
  </si>
  <si>
    <t xml:space="preserve">DANELIJ             </t>
  </si>
  <si>
    <t xml:space="preserve">ANAH                </t>
  </si>
  <si>
    <t xml:space="preserve">CRISTALV            </t>
  </si>
  <si>
    <t xml:space="preserve">JORGEG              </t>
  </si>
  <si>
    <t xml:space="preserve">JORGEG@PEARLLEATHER.COM.MX    </t>
  </si>
  <si>
    <t xml:space="preserve">RODOLFOC            </t>
  </si>
  <si>
    <t xml:space="preserve">ALEJANDROD          </t>
  </si>
  <si>
    <t>ALEJANDROD@PEARLLEATHER.COM.MX</t>
  </si>
  <si>
    <t xml:space="preserve">JORGEJ              </t>
  </si>
  <si>
    <t xml:space="preserve">JORGEJ@PEARLLEATHER.COM.MX    </t>
  </si>
  <si>
    <t xml:space="preserve">GEOVANNIL           </t>
  </si>
  <si>
    <t xml:space="preserve">ALBAJ               </t>
  </si>
  <si>
    <t xml:space="preserve">ALBAJ@PEARLLEATHER.COM.MX     </t>
  </si>
  <si>
    <t xml:space="preserve">EDUARDOP            </t>
  </si>
  <si>
    <t xml:space="preserve">FRANCISCOE          </t>
  </si>
  <si>
    <t>FRANCISCOE@PEARLLEATHER.COM.MX</t>
  </si>
  <si>
    <t xml:space="preserve">DULCEC              </t>
  </si>
  <si>
    <t xml:space="preserve">DULCEC@PEARLLEATHER.COM.MX    </t>
  </si>
  <si>
    <t xml:space="preserve">JACKIEG             </t>
  </si>
  <si>
    <t xml:space="preserve">JACKIE@PEARLLEATHER.COM.MX    </t>
  </si>
  <si>
    <t/>
  </si>
  <si>
    <t>LUIS PEREZ</t>
  </si>
  <si>
    <t>NAVID RACHMAN()</t>
  </si>
  <si>
    <t>YAMILEX QUEZADA</t>
  </si>
  <si>
    <t>MARIANA CASTRO</t>
  </si>
  <si>
    <t>MARIA ROMO</t>
  </si>
  <si>
    <t>ELENA RODRIGUEZ</t>
  </si>
  <si>
    <t>LEYVER ROBLERO</t>
  </si>
  <si>
    <t>FRAY JIMENEZ</t>
  </si>
  <si>
    <t>ALMA ZUNIGA</t>
  </si>
  <si>
    <t>ERNESTO GAYTAN</t>
  </si>
  <si>
    <t>JOSUE CHAVEZ</t>
  </si>
  <si>
    <t>JESUS ROJERO</t>
  </si>
  <si>
    <t>ANAHI GALLEGOS</t>
  </si>
  <si>
    <t>navid rachman()</t>
  </si>
  <si>
    <t>yamilex quezada</t>
  </si>
  <si>
    <t>anahi gallegos</t>
  </si>
  <si>
    <t>???</t>
  </si>
  <si>
    <t>K_USUARIO_ACCION</t>
  </si>
  <si>
    <t>EXECUTE [dbo].[</t>
  </si>
  <si>
    <t xml:space="preserve">] </t>
  </si>
  <si>
    <t>-</t>
  </si>
  <si>
    <t>[K_USUARIO_PEARL]</t>
  </si>
  <si>
    <t>[D_USUARIO_PEARL]</t>
  </si>
  <si>
    <t>[PASSWORD_USUARIO_PEARL]</t>
  </si>
  <si>
    <t>[CORREO_USUARIO_PEARL]</t>
  </si>
  <si>
    <t>[K_USUARIO_DEPTO]</t>
  </si>
  <si>
    <t>[USUARIO_TIPO]</t>
  </si>
  <si>
    <t>[TEMA_USUARIO_PEARL]</t>
  </si>
  <si>
    <t>[K_EMPLEADO_PEARL]</t>
  </si>
  <si>
    <t>[C_USUARIO_PEARL]</t>
  </si>
  <si>
    <t>[L_USUARIO_PEARL]</t>
  </si>
  <si>
    <t>PG_CI_USUARIO_PEARL</t>
  </si>
  <si>
    <t>RAFAELF</t>
  </si>
  <si>
    <t>OMARD</t>
  </si>
  <si>
    <t>JORGEH</t>
  </si>
  <si>
    <t>GUILLERMOM</t>
  </si>
  <si>
    <t>PEDROV</t>
  </si>
  <si>
    <t>MIGUELC</t>
  </si>
  <si>
    <t>IVAND</t>
  </si>
  <si>
    <t>OSCART</t>
  </si>
  <si>
    <t>RECIBO1</t>
  </si>
  <si>
    <t>RECIBO2</t>
  </si>
  <si>
    <t>GILBERTOV</t>
  </si>
  <si>
    <t>MANUELG</t>
  </si>
  <si>
    <t>FABIOLAG</t>
  </si>
  <si>
    <t>DIANAS</t>
  </si>
  <si>
    <t>ALEJANDROP</t>
  </si>
  <si>
    <t>ADRIANAD</t>
  </si>
  <si>
    <t>PATRICIAC</t>
  </si>
  <si>
    <t>LUISP</t>
  </si>
  <si>
    <t>LEONORH</t>
  </si>
  <si>
    <t>KARENE</t>
  </si>
  <si>
    <t>GASPARH</t>
  </si>
  <si>
    <t>ARMIDAH</t>
  </si>
  <si>
    <t>MARIAS</t>
  </si>
  <si>
    <t>FERNANDOG</t>
  </si>
  <si>
    <t>NAVIDR</t>
  </si>
  <si>
    <t>ROXANAL</t>
  </si>
  <si>
    <t>YAMILEXQ</t>
  </si>
  <si>
    <t>KARENA</t>
  </si>
  <si>
    <t>GENAROH</t>
  </si>
  <si>
    <t>DANAC</t>
  </si>
  <si>
    <t>MARIANAC</t>
  </si>
  <si>
    <t>JORGEO</t>
  </si>
  <si>
    <t>DIANAN</t>
  </si>
  <si>
    <t>SISTEMAS</t>
  </si>
  <si>
    <t>VIVIANAC</t>
  </si>
  <si>
    <t>TANIAC</t>
  </si>
  <si>
    <t>JOSES</t>
  </si>
  <si>
    <t>MARIAR</t>
  </si>
  <si>
    <t>FRANCISCOM</t>
  </si>
  <si>
    <t>SANTOSR</t>
  </si>
  <si>
    <t>ELENAR</t>
  </si>
  <si>
    <t>MONICAG</t>
  </si>
  <si>
    <t>LEYVERR</t>
  </si>
  <si>
    <t>EDGARA</t>
  </si>
  <si>
    <t>SUPERVISOR</t>
  </si>
  <si>
    <t>VICTORC</t>
  </si>
  <si>
    <t>ASIFUENTES</t>
  </si>
  <si>
    <t>FRAYJ</t>
  </si>
  <si>
    <t>ADRIANAI</t>
  </si>
  <si>
    <t>ALMAZ</t>
  </si>
  <si>
    <t>ERNESTOG</t>
  </si>
  <si>
    <t>JOSUEC</t>
  </si>
  <si>
    <t>SONIAO</t>
  </si>
  <si>
    <t>PERLAH</t>
  </si>
  <si>
    <t>ALFREDOA</t>
  </si>
  <si>
    <t>LUZM</t>
  </si>
  <si>
    <t>JESUSR</t>
  </si>
  <si>
    <t>JORGEN</t>
  </si>
  <si>
    <t>IRISE</t>
  </si>
  <si>
    <t>ANAHIG</t>
  </si>
  <si>
    <t>MARIOS</t>
  </si>
  <si>
    <t>JESUST</t>
  </si>
  <si>
    <t>TERESAJ</t>
  </si>
  <si>
    <t>DANELIJ</t>
  </si>
  <si>
    <t>ANAH</t>
  </si>
  <si>
    <t>CRISTALV</t>
  </si>
  <si>
    <t>JORGEG</t>
  </si>
  <si>
    <t>RODOLFOC</t>
  </si>
  <si>
    <t>ALEJANDROD</t>
  </si>
  <si>
    <t>JORGEJ</t>
  </si>
  <si>
    <t>GEOVANNIL</t>
  </si>
  <si>
    <t>ALBAJ</t>
  </si>
  <si>
    <t>EDUARDOP</t>
  </si>
  <si>
    <t>FRANCISCOE</t>
  </si>
  <si>
    <t>DULCEC</t>
  </si>
  <si>
    <t>JACKIEG</t>
  </si>
  <si>
    <t>killer</t>
  </si>
  <si>
    <t>12340</t>
  </si>
  <si>
    <t>jorgeh</t>
  </si>
  <si>
    <t>nicole</t>
  </si>
  <si>
    <t>Saver10*</t>
  </si>
  <si>
    <t>Dalica9905</t>
  </si>
  <si>
    <t>5623</t>
  </si>
  <si>
    <t>7890</t>
  </si>
  <si>
    <t>12345</t>
  </si>
  <si>
    <t>Alexander1</t>
  </si>
  <si>
    <t>Mangar83</t>
  </si>
  <si>
    <t>fabiola</t>
  </si>
  <si>
    <t>1604</t>
  </si>
  <si>
    <t>alex</t>
  </si>
  <si>
    <t>adriana</t>
  </si>
  <si>
    <t>mebi1625</t>
  </si>
  <si>
    <t>luis</t>
  </si>
  <si>
    <t>200816</t>
  </si>
  <si>
    <t>2878</t>
  </si>
  <si>
    <t>ferny</t>
  </si>
  <si>
    <t>kgi01!</t>
  </si>
  <si>
    <t>123789</t>
  </si>
  <si>
    <t>1234</t>
  </si>
  <si>
    <t>102</t>
  </si>
  <si>
    <t>2697</t>
  </si>
  <si>
    <t>1986</t>
  </si>
  <si>
    <t>calidad.30</t>
  </si>
  <si>
    <t>Facturas1</t>
  </si>
  <si>
    <t>m@ster++</t>
  </si>
  <si>
    <t>123450</t>
  </si>
  <si>
    <t>1726</t>
  </si>
  <si>
    <t>jose48320031</t>
  </si>
  <si>
    <t>cuarris987</t>
  </si>
  <si>
    <t>7410</t>
  </si>
  <si>
    <t>193105</t>
  </si>
  <si>
    <t>super10</t>
  </si>
  <si>
    <t>Password1</t>
  </si>
  <si>
    <t>123</t>
  </si>
  <si>
    <t>*eder0607</t>
  </si>
  <si>
    <t>saiddamian</t>
  </si>
  <si>
    <t>123456</t>
  </si>
  <si>
    <t>1394</t>
  </si>
  <si>
    <t>247328</t>
  </si>
  <si>
    <t>11111111</t>
  </si>
  <si>
    <t>80916</t>
  </si>
  <si>
    <t>RAFAELF@PEARLLEATHER.COM.MX</t>
  </si>
  <si>
    <t>OMARD@PEARLLEATHER.COM.MX</t>
  </si>
  <si>
    <t>JORGEH@PEARLLEATHER.COM.MX</t>
  </si>
  <si>
    <t>PEDROV@PEARLLEATHER.COM.MX</t>
  </si>
  <si>
    <t>MIGUELC@PEARLLEATHER.COM.MX</t>
  </si>
  <si>
    <t>IVAND@PEARLLEATHER.COM.MX</t>
  </si>
  <si>
    <t>OSCART@PEARLLEATHER.COM.MX</t>
  </si>
  <si>
    <t>PEDROA@PEARLLEATHER.COM.MX</t>
  </si>
  <si>
    <t>GILBERTOV@PEARLLEATHER.COM.MX</t>
  </si>
  <si>
    <t>MANUELG@PEARLLEATHER.COM.MX</t>
  </si>
  <si>
    <t>FABIOLAG@PEARLLEATHER.COM.MX</t>
  </si>
  <si>
    <t>@PEARLLEATHER.COM.MX</t>
  </si>
  <si>
    <t>ADRIANAD@PEARLLEATHER.COM.MX</t>
  </si>
  <si>
    <t>PATRICIAC@PEARLLEATHER.COM.MX</t>
  </si>
  <si>
    <t>LUISP@PEARLLEATHER.COM.MX</t>
  </si>
  <si>
    <t>LEONORH@PEARLLEATHER.COM.MX</t>
  </si>
  <si>
    <t>RECIBO@PEARLLEATHER.COM.MX</t>
  </si>
  <si>
    <t>GASPARH@PEARLLEATHER.COM.MX</t>
  </si>
  <si>
    <t>ARMIDAH@PEARLLEATHER.COM.MX</t>
  </si>
  <si>
    <t>MARIAS@PEARLLEATHER.COM.MX</t>
  </si>
  <si>
    <t>FERNANDOG@PEARLLEATHER.COM.MX</t>
  </si>
  <si>
    <t>NAVID@RACHMANTECH.COM</t>
  </si>
  <si>
    <t>YAMILEXQ@PEARLLEATHER.COM.MX</t>
  </si>
  <si>
    <t>KARENA@PEARLLEATHER.COM.MX</t>
  </si>
  <si>
    <t>CERTI@PEARLLEATHER.COM.MX</t>
  </si>
  <si>
    <t>JOLEGARIO@PEARLLEATHER.COM.MX</t>
  </si>
  <si>
    <t>SISTEMAS@PEARLLEATHER.COM.MX</t>
  </si>
  <si>
    <t>VIVIANC@PEARLLEATHER.COM.MX</t>
  </si>
  <si>
    <t>JOSES@PEARLLEATHER.COM.MX</t>
  </si>
  <si>
    <t>MARIAR@PEARLLEATHER.COM.MX</t>
  </si>
  <si>
    <t>SANTOSR@PEARLLEATHER.COM.MX</t>
  </si>
  <si>
    <t>ELENAR@PEARLLEATHER.COM.MX</t>
  </si>
  <si>
    <t>XX@PEARLLEATHER.COM.MX</t>
  </si>
  <si>
    <t>VICTORC@PEARLLEATHER.COM.MX</t>
  </si>
  <si>
    <t>ALBERTOS@PEARLLEATHER.COM.MX</t>
  </si>
  <si>
    <t>FRAYJ@PEARLLEATHER.COM.MX</t>
  </si>
  <si>
    <t>ADRIANAI@PEARLLEATHER.COM.MX</t>
  </si>
  <si>
    <t>ERNESTOG@PEARLLEATHER.COM.MX</t>
  </si>
  <si>
    <t>JOSUEC@PEARLLEATHER.COM.MX</t>
  </si>
  <si>
    <t>SONIAO@PEARLLEATHER.COM.MX</t>
  </si>
  <si>
    <t>LUZM@PEARLLEATHER.COM.MX</t>
  </si>
  <si>
    <t>JESUSR@PEARLLEATHER.COM.MX</t>
  </si>
  <si>
    <t>ADRIANN@PEARLLEATHER.COM.MX</t>
  </si>
  <si>
    <t>IRISE@PEARLLEATHER.COM.MX</t>
  </si>
  <si>
    <t>MARIOS@PEARLLEATHER.COM.MX</t>
  </si>
  <si>
    <t>JORGEG@PEARLLEATHER.COM.MX</t>
  </si>
  <si>
    <t>JORGEJ@PEARLLEATHER.COM.MX</t>
  </si>
  <si>
    <t>ALBAJ@PEARLLEATHER.COM.MX</t>
  </si>
  <si>
    <t>DULCEC@PEARLLEATHER.COM.MX</t>
  </si>
  <si>
    <t>JACKIE@PEARLLEATHER.COM.MX</t>
  </si>
  <si>
    <t>RED PLANET.ISL</t>
  </si>
  <si>
    <t>FLAT NATURE.ISL</t>
  </si>
  <si>
    <t>IG STYLE.ISL</t>
  </si>
  <si>
    <t>NATILUS.ISL</t>
  </si>
  <si>
    <t>THE BLUES.ISL</t>
  </si>
  <si>
    <t>NOIR MODERNE.ISL</t>
  </si>
  <si>
    <t>BLACK STYLE.ISL</t>
  </si>
  <si>
    <t>MISTIC BROWN.ISL</t>
  </si>
  <si>
    <t>BLACK.ISL</t>
  </si>
  <si>
    <t>magna</t>
  </si>
  <si>
    <t>yamilex</t>
  </si>
  <si>
    <t>sistemas</t>
  </si>
  <si>
    <t>supervisor</t>
  </si>
  <si>
    <t>recibo</t>
  </si>
  <si>
    <t>anahi</t>
  </si>
  <si>
    <t>eduardo p</t>
  </si>
  <si>
    <t>[L_BORRADO]</t>
  </si>
  <si>
    <t>[K_USUARIO_TIPO]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</si>
</sst>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0" x14ac:knownFonts="1">
    <font>
      <sz val="11"/>
      <color theme="1"/>
      <name val="Calibri"/>
      <family val="2"/>
      <scheme val="minor"/>
    </font>
    <font>
      <sz val="11"/>
      <color rgb="FFFF0000"/>
      <name val="Calibri"/>
      <family val="2"/>
      <scheme val="minor"/>
    </font>
    <font>
      <b/>
      <sz val="9"/>
      <name val="Calibri"/>
      <family val="2"/>
      <scheme val="minor"/>
    </font>
    <font>
      <b/>
      <sz val="9"/>
      <color theme="1"/>
      <name val="Calibri"/>
      <family val="2"/>
      <scheme val="minor"/>
    </font>
    <font>
      <b/>
      <i/>
      <sz val="9"/>
      <color rgb="FFC00000"/>
      <name val="Calibri"/>
      <family val="2"/>
      <scheme val="minor"/>
    </font>
    <font>
      <i/>
      <sz val="9"/>
      <color theme="1"/>
      <name val="Calibri"/>
      <family val="2"/>
      <scheme val="minor"/>
    </font>
    <font>
      <b/>
      <u/>
      <sz val="9"/>
      <color theme="1"/>
      <name val="Calibri"/>
      <family val="2"/>
      <scheme val="minor"/>
    </font>
    <font>
      <b/>
      <i/>
      <sz val="11"/>
      <color rgb="FFC00000"/>
      <name val="Calibri"/>
      <family val="2"/>
      <scheme val="minor"/>
    </font>
    <font>
      <sz val="9"/>
      <color theme="1"/>
      <name val="Calibri"/>
      <family val="2"/>
      <scheme val="minor"/>
    </font>
    <font>
      <b/>
      <i/>
      <sz val="9"/>
      <color rgb="FF00B05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0" fillId="2" borderId="1" xfId="0" applyFill="1" applyBorder="1" applyAlignment="1">
      <alignment horizontal="center" vertical="center"/>
    </xf>
    <xf numFmtId="0" fontId="0" fillId="2" borderId="1" xfId="0" applyFill="1" applyBorder="1"/>
    <xf numFmtId="0" fontId="0" fillId="3" borderId="1" xfId="0" applyFill="1" applyBorder="1" applyAlignment="1">
      <alignment horizontal="center" vertical="center"/>
    </xf>
    <xf numFmtId="0" fontId="0" fillId="3" borderId="1" xfId="0" applyFill="1" applyBorder="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xf>
    <xf numFmtId="0" fontId="3" fillId="0" borderId="0" xfId="0" quotePrefix="1" applyFont="1" applyAlignment="1">
      <alignment vertical="center"/>
    </xf>
    <xf numFmtId="0" fontId="4" fillId="0" borderId="0" xfId="0" quotePrefix="1" applyFont="1" applyAlignment="1">
      <alignment horizontal="center" vertical="center"/>
    </xf>
    <xf numFmtId="0" fontId="5" fillId="0" borderId="0" xfId="0" quotePrefix="1" applyFont="1" applyAlignment="1">
      <alignment horizontal="left" vertical="center"/>
    </xf>
    <xf numFmtId="0" fontId="3" fillId="0" borderId="0" xfId="0" applyFont="1" applyAlignment="1">
      <alignment vertical="center"/>
    </xf>
    <xf numFmtId="0" fontId="4" fillId="0" borderId="0" xfId="0" applyFont="1" applyFill="1" applyAlignment="1">
      <alignment horizontal="left" vertical="center"/>
    </xf>
    <xf numFmtId="0" fontId="3" fillId="0" borderId="0" xfId="0" applyFont="1" applyFill="1" applyAlignment="1">
      <alignment vertical="center"/>
    </xf>
    <xf numFmtId="0" fontId="6" fillId="0" borderId="0" xfId="0" applyFont="1" applyAlignment="1">
      <alignment vertical="center"/>
    </xf>
    <xf numFmtId="0" fontId="3" fillId="0" borderId="0" xfId="0" applyFont="1" applyFill="1" applyAlignment="1">
      <alignment horizontal="center" vertical="center"/>
    </xf>
    <xf numFmtId="0" fontId="5" fillId="0" borderId="0" xfId="0" applyFont="1" applyFill="1" applyAlignment="1">
      <alignment horizontal="center" vertical="center"/>
    </xf>
    <xf numFmtId="164" fontId="4" fillId="0" borderId="0" xfId="0" applyNumberFormat="1" applyFont="1" applyFill="1" applyAlignment="1">
      <alignment horizontal="center" vertical="center"/>
    </xf>
    <xf numFmtId="0" fontId="5" fillId="0" borderId="0" xfId="0" quotePrefix="1" applyFont="1" applyFill="1" applyAlignment="1">
      <alignment horizontal="left" vertical="center"/>
    </xf>
    <xf numFmtId="0" fontId="5" fillId="0" borderId="0" xfId="0" quotePrefix="1" applyFont="1" applyFill="1" applyAlignment="1">
      <alignment horizontal="center" vertical="center"/>
    </xf>
    <xf numFmtId="0" fontId="7" fillId="0" borderId="0" xfId="0" applyFont="1" applyAlignment="1">
      <alignment horizontal="center" vertical="center"/>
    </xf>
    <xf numFmtId="0" fontId="8" fillId="0" borderId="0" xfId="0" quotePrefix="1" applyFont="1" applyFill="1" applyAlignment="1">
      <alignment horizontal="center" vertical="center"/>
    </xf>
    <xf numFmtId="0" fontId="9" fillId="0" borderId="0" xfId="0" applyFont="1" applyFill="1" applyAlignment="1">
      <alignment horizontal="left" vertical="center"/>
    </xf>
    <xf numFmtId="0" fontId="8" fillId="0" borderId="0" xfId="0" applyFont="1" applyFill="1" applyAlignment="1">
      <alignment vertical="center"/>
    </xf>
    <xf numFmtId="0" fontId="1" fillId="0" borderId="0" xfId="0" applyFont="1" applyAlignment="1">
      <alignment horizontal="center"/>
    </xf>
    <xf numFmtId="0" fontId="7" fillId="0" borderId="0" xfId="0" applyFont="1" applyAlignment="1">
      <alignment horizontal="center"/>
    </xf>
    <xf numFmtId="0" fontId="0" fillId="0" borderId="0" xfId="0" applyAlignment="1">
      <alignment horizontal="left"/>
    </xf>
    <xf numFmtId="0" fontId="0" fillId="0" borderId="0" xfId="0" applyFill="1"/>
  </cellXfs>
  <cellStyles count="1">
    <cellStyle name="Normal" xfId="0" builtinId="0"/>
  </cellStyles>
  <dxfs count="27">
    <dxf>
      <font>
        <b/>
        <i/>
        <strike val="0"/>
        <color rgb="FFC00000"/>
      </font>
    </dxf>
    <dxf>
      <font>
        <b/>
        <i/>
        <strike val="0"/>
        <color rgb="FFC00000"/>
      </font>
    </dxf>
    <dxf>
      <font>
        <b/>
        <i/>
        <strike val="0"/>
        <color rgb="FFC00000"/>
      </font>
    </dxf>
    <dxf>
      <font>
        <b/>
        <i/>
        <strike val="0"/>
        <color rgb="FFC00000"/>
      </font>
    </dxf>
    <dxf>
      <font>
        <b/>
        <i/>
        <strike val="0"/>
        <color rgb="FFC00000"/>
      </font>
    </dxf>
    <dxf>
      <font>
        <b/>
        <i/>
        <strike val="0"/>
        <color rgb="FFC00000"/>
      </font>
    </dxf>
    <dxf>
      <font>
        <b/>
        <i/>
        <strike val="0"/>
        <color rgb="FFC00000"/>
      </font>
    </dxf>
    <dxf>
      <font>
        <b/>
        <i/>
        <strike val="0"/>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strike val="0"/>
        <color rgb="FFC00000"/>
      </font>
    </dxf>
    <dxf>
      <font>
        <b/>
        <i/>
        <strike val="0"/>
        <color rgb="FFC00000"/>
      </font>
    </dxf>
    <dxf>
      <font>
        <b/>
        <i/>
        <strike val="0"/>
        <color rgb="FFC00000"/>
      </font>
    </dxf>
    <dxf>
      <font>
        <color rgb="FF9C0006"/>
      </font>
      <fill>
        <patternFill>
          <bgColor rgb="FFFFC7CE"/>
        </patternFill>
      </fill>
    </dxf>
    <dxf>
      <font>
        <b/>
        <i/>
        <strike val="0"/>
        <color rgb="FFC00000"/>
      </font>
    </dxf>
    <dxf>
      <font>
        <b/>
        <i/>
        <strike val="0"/>
        <color rgb="FFC00000"/>
      </font>
    </dxf>
    <dxf>
      <font>
        <b/>
        <i/>
        <strike val="0"/>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strike val="0"/>
        <color rgb="FFC00000"/>
      </font>
    </dxf>
    <dxf>
      <font>
        <b/>
        <i/>
        <strike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0"/>
  <sheetViews>
    <sheetView tabSelected="1" topLeftCell="I1" zoomScale="130" zoomScaleNormal="130" workbookViewId="0">
      <selection activeCell="O3" sqref="O3"/>
    </sheetView>
  </sheetViews>
  <sheetFormatPr defaultColWidth="11.42578125" defaultRowHeight="15" x14ac:dyDescent="0.25"/>
  <cols>
    <col min="1" max="1" width="3.28515625" style="27" customWidth="1"/>
    <col min="2" max="2" width="4.140625" customWidth="1"/>
    <col min="3" max="3" width="13.7109375" style="28" customWidth="1"/>
    <col min="4" max="4" width="18" style="29" bestFit="1" customWidth="1"/>
    <col min="5" max="5" width="15" style="29" bestFit="1" customWidth="1"/>
    <col min="6" max="6" width="31.42578125" style="29" bestFit="1" customWidth="1"/>
    <col min="7" max="7" width="20.5703125" style="23" customWidth="1"/>
    <col min="8" max="8" width="19.28515625" style="23" customWidth="1"/>
    <col min="9" max="11" width="14.85546875" style="28" customWidth="1"/>
    <col min="12" max="13" width="21.28515625" style="23" bestFit="1" customWidth="1"/>
    <col min="14" max="14" width="8.42578125" customWidth="1"/>
    <col min="15" max="15" width="25.28515625" customWidth="1"/>
    <col min="16" max="16" width="17.42578125" style="30" customWidth="1"/>
  </cols>
  <sheetData>
    <row r="1" spans="1:18" s="9" customFormat="1" x14ac:dyDescent="0.25">
      <c r="A1" s="8" t="s">
        <v>205</v>
      </c>
      <c r="B1" s="9" t="s">
        <v>206</v>
      </c>
      <c r="C1" t="s">
        <v>210</v>
      </c>
      <c r="D1" t="s">
        <v>211</v>
      </c>
      <c r="E1" t="s">
        <v>212</v>
      </c>
      <c r="F1" t="s">
        <v>213</v>
      </c>
      <c r="G1" t="s">
        <v>214</v>
      </c>
      <c r="H1" t="s">
        <v>409</v>
      </c>
      <c r="I1" t="s">
        <v>216</v>
      </c>
      <c r="J1" t="s">
        <v>217</v>
      </c>
      <c r="K1" t="s">
        <v>218</v>
      </c>
      <c r="L1" t="s">
        <v>219</v>
      </c>
      <c r="M1" t="s">
        <v>408</v>
      </c>
      <c r="O1" s="9" t="s">
        <v>207</v>
      </c>
      <c r="P1" s="9" t="s">
        <v>220</v>
      </c>
      <c r="Q1" s="9" t="s">
        <v>208</v>
      </c>
      <c r="R1" s="9" t="str">
        <f>CONCATENATE($O$1,$P$1,$Q$1,  B3, ", ", )</f>
        <v xml:space="preserve">EXECUTE [dbo].[PG_CI_USUARIO_PEARL] 139, </v>
      </c>
    </row>
    <row r="2" spans="1:18" s="16" customFormat="1" x14ac:dyDescent="0.25">
      <c r="A2" s="10"/>
      <c r="B2" s="11" t="s">
        <v>209</v>
      </c>
      <c r="C2" s="12" t="s">
        <v>209</v>
      </c>
      <c r="D2" s="13" t="s">
        <v>209</v>
      </c>
      <c r="E2" s="13" t="s">
        <v>209</v>
      </c>
      <c r="F2" s="13" t="s">
        <v>209</v>
      </c>
      <c r="G2" s="12" t="s">
        <v>209</v>
      </c>
      <c r="H2" s="12" t="s">
        <v>209</v>
      </c>
      <c r="I2" s="12"/>
      <c r="J2" s="12"/>
      <c r="K2" s="12"/>
      <c r="L2" s="12" t="s">
        <v>209</v>
      </c>
      <c r="M2" s="12" t="s">
        <v>209</v>
      </c>
      <c r="N2" s="14"/>
      <c r="O2" s="15" t="str">
        <f>"-- =========================================================="</f>
        <v>-- ==========================================================</v>
      </c>
      <c r="Q2" s="17"/>
      <c r="R2" s="14"/>
    </row>
    <row r="3" spans="1:18" s="16" customFormat="1" x14ac:dyDescent="0.25">
      <c r="A3" s="18"/>
      <c r="B3" s="19">
        <v>139</v>
      </c>
      <c r="C3" s="20">
        <v>41</v>
      </c>
      <c r="D3" s="21" t="s">
        <v>221</v>
      </c>
      <c r="E3" s="22" t="s">
        <v>297</v>
      </c>
      <c r="F3" s="22" t="s">
        <v>342</v>
      </c>
      <c r="G3" s="23">
        <v>7</v>
      </c>
      <c r="H3" s="23">
        <v>30</v>
      </c>
      <c r="I3" s="24" t="s">
        <v>392</v>
      </c>
      <c r="J3" s="24">
        <v>6142</v>
      </c>
      <c r="K3" s="24"/>
      <c r="L3" s="24">
        <v>1</v>
      </c>
      <c r="M3" s="24">
        <v>0</v>
      </c>
      <c r="O3" s="25" t="str">
        <f>CONCATENATE(CI_!$R$1,C3,", '",D3,"', '",E3,"' , '",F3,"' , ",G3,",",H3,",'",I3,"',",J3,",'",K3,"',",L3,",",M3)</f>
        <v>EXECUTE [dbo].[PG_CI_USUARIO_PEARL] 139, 41, 'RAFAELF', 'killer' , 'RAFAELF@PEARLLEATHER.COM.MX' , 7,30,'RED PLANET.ISL',6142,'',1,0</v>
      </c>
      <c r="P3" s="26"/>
    </row>
    <row r="4" spans="1:18" s="16" customFormat="1" x14ac:dyDescent="0.25">
      <c r="A4" s="18"/>
      <c r="B4" s="19">
        <v>139</v>
      </c>
      <c r="C4" s="20">
        <v>42</v>
      </c>
      <c r="D4" s="21" t="s">
        <v>222</v>
      </c>
      <c r="E4" s="22" t="s">
        <v>298</v>
      </c>
      <c r="F4" s="22" t="s">
        <v>343</v>
      </c>
      <c r="G4" s="23">
        <v>12</v>
      </c>
      <c r="H4" s="23">
        <v>20</v>
      </c>
      <c r="I4" s="24" t="s">
        <v>392</v>
      </c>
      <c r="J4" s="24">
        <v>181</v>
      </c>
      <c r="K4" s="24"/>
      <c r="L4" s="24">
        <v>1</v>
      </c>
      <c r="M4" s="24">
        <v>0</v>
      </c>
      <c r="O4" s="25" t="str">
        <f>CONCATENATE(CI_!$R$1,C4,", '",D4,"', '",E4,"' , '",F4,"' , ",G4,",",H4,",'",I4,"',",J4,",'",K4,"',",L4,",",M4)</f>
        <v>EXECUTE [dbo].[PG_CI_USUARIO_PEARL] 139, 42, 'OMARD', '12340' , 'OMARD@PEARLLEATHER.COM.MX' , 12,20,'RED PLANET.ISL',181,'',1,0</v>
      </c>
      <c r="P4" s="26"/>
    </row>
    <row r="5" spans="1:18" s="16" customFormat="1" x14ac:dyDescent="0.25">
      <c r="A5" s="18"/>
      <c r="B5" s="19">
        <v>139</v>
      </c>
      <c r="C5" s="20">
        <v>43</v>
      </c>
      <c r="D5" s="21" t="s">
        <v>223</v>
      </c>
      <c r="E5" s="22" t="s">
        <v>299</v>
      </c>
      <c r="F5" s="22" t="s">
        <v>344</v>
      </c>
      <c r="G5" s="23">
        <v>9</v>
      </c>
      <c r="H5" s="23">
        <v>50</v>
      </c>
      <c r="I5" s="24" t="s">
        <v>393</v>
      </c>
      <c r="J5" s="24">
        <v>52</v>
      </c>
      <c r="K5" s="24"/>
      <c r="L5" s="24">
        <v>1</v>
      </c>
      <c r="M5" s="24">
        <v>0</v>
      </c>
      <c r="O5" s="25" t="str">
        <f>CONCATENATE(CI_!$R$1,C5,", '",D5,"', '",E5,"' , '",F5,"' , ",G5,",",H5,",'",I5,"',",J5,",'",K5,"',",L5,",",M5)</f>
        <v>EXECUTE [dbo].[PG_CI_USUARIO_PEARL] 139, 43, 'JORGEH', 'jorgeh' , 'JORGEH@PEARLLEATHER.COM.MX' , 9,50,'FLAT NATURE.ISL',52,'',1,0</v>
      </c>
      <c r="P5" s="26"/>
    </row>
    <row r="6" spans="1:18" s="16" customFormat="1" x14ac:dyDescent="0.25">
      <c r="A6" s="18"/>
      <c r="B6" s="19">
        <v>139</v>
      </c>
      <c r="C6" s="20">
        <v>44</v>
      </c>
      <c r="D6" s="21" t="s">
        <v>224</v>
      </c>
      <c r="E6" s="22" t="s">
        <v>300</v>
      </c>
      <c r="F6" s="22" t="s">
        <v>24</v>
      </c>
      <c r="G6" s="23">
        <v>6</v>
      </c>
      <c r="H6" s="23">
        <v>40</v>
      </c>
      <c r="I6" s="24" t="s">
        <v>393</v>
      </c>
      <c r="J6" s="24">
        <v>22</v>
      </c>
      <c r="K6" s="24"/>
      <c r="L6" s="24">
        <v>1</v>
      </c>
      <c r="M6" s="24">
        <v>0</v>
      </c>
      <c r="O6" s="25" t="str">
        <f>CONCATENATE(CI_!$R$1,C6,", '",D6,"', '",E6,"' , '",F6,"' , ",G6,",",H6,",'",I6,"',",J6,",'",K6,"',",L6,",",M6)</f>
        <v>EXECUTE [dbo].[PG_CI_USUARIO_PEARL] 139, 44, 'GUILLERMOM', 'nicole' , 'GUILLERMOM@PEARLLEATHER.COM.MX' , 6,40,'FLAT NATURE.ISL',22,'',1,0</v>
      </c>
      <c r="P6" s="26"/>
    </row>
    <row r="7" spans="1:18" x14ac:dyDescent="0.25">
      <c r="A7" s="18"/>
      <c r="B7" s="19">
        <v>139</v>
      </c>
      <c r="C7" s="20">
        <v>45</v>
      </c>
      <c r="D7" s="21" t="s">
        <v>225</v>
      </c>
      <c r="E7" s="22" t="s">
        <v>301</v>
      </c>
      <c r="F7" s="22" t="s">
        <v>345</v>
      </c>
      <c r="G7" s="23">
        <v>3</v>
      </c>
      <c r="H7" s="23">
        <v>40</v>
      </c>
      <c r="I7" s="24" t="s">
        <v>392</v>
      </c>
      <c r="J7" s="24">
        <v>999</v>
      </c>
      <c r="K7" s="24"/>
      <c r="L7" s="24">
        <v>1</v>
      </c>
      <c r="M7" s="24">
        <v>0</v>
      </c>
      <c r="N7" s="16"/>
      <c r="O7" s="25" t="str">
        <f>CONCATENATE(CI_!$R$1,C7,", '",D7,"', '",E7,"' , '",F7,"' , ",G7,",",H7,",'",I7,"',",J7,",'",K7,"',",L7,",",M7)</f>
        <v>EXECUTE [dbo].[PG_CI_USUARIO_PEARL] 139, 45, 'PEDROV', 'Saver10*' , 'PEDROV@PEARLLEATHER.COM.MX' , 3,40,'RED PLANET.ISL',999,'',1,0</v>
      </c>
      <c r="P7" s="26"/>
      <c r="Q7" s="16"/>
      <c r="R7" s="16"/>
    </row>
    <row r="8" spans="1:18" s="16" customFormat="1" x14ac:dyDescent="0.25">
      <c r="A8" s="18"/>
      <c r="B8" s="19">
        <v>139</v>
      </c>
      <c r="C8" s="20">
        <v>47</v>
      </c>
      <c r="D8" s="21" t="s">
        <v>226</v>
      </c>
      <c r="E8" s="22" t="s">
        <v>302</v>
      </c>
      <c r="F8" s="22" t="s">
        <v>346</v>
      </c>
      <c r="G8" s="23">
        <v>4</v>
      </c>
      <c r="H8" s="23">
        <v>20</v>
      </c>
      <c r="I8" s="24" t="s">
        <v>393</v>
      </c>
      <c r="J8" s="24">
        <v>1299</v>
      </c>
      <c r="K8" s="24"/>
      <c r="L8" s="24">
        <v>1</v>
      </c>
      <c r="M8" s="24">
        <v>0</v>
      </c>
      <c r="O8" s="25" t="str">
        <f>CONCATENATE(CI_!$R$1,C8,", '",D8,"', '",E8,"' , '",F8,"' , ",G8,",",H8,",'",I8,"',",J8,",'",K8,"',",L8,",",M8)</f>
        <v>EXECUTE [dbo].[PG_CI_USUARIO_PEARL] 139, 47, 'MIGUELC', 'Dalica9905' , 'MIGUELC@PEARLLEATHER.COM.MX' , 4,20,'FLAT NATURE.ISL',1299,'',1,0</v>
      </c>
      <c r="P8" s="26"/>
    </row>
    <row r="9" spans="1:18" s="16" customFormat="1" x14ac:dyDescent="0.25">
      <c r="A9" s="18"/>
      <c r="B9" s="19">
        <v>139</v>
      </c>
      <c r="C9" s="20">
        <v>48</v>
      </c>
      <c r="D9" s="21" t="s">
        <v>227</v>
      </c>
      <c r="E9" s="22" t="s">
        <v>303</v>
      </c>
      <c r="F9" s="22" t="s">
        <v>347</v>
      </c>
      <c r="G9" s="23">
        <v>4</v>
      </c>
      <c r="H9" s="23">
        <v>30</v>
      </c>
      <c r="I9" s="24" t="s">
        <v>394</v>
      </c>
      <c r="J9" s="24">
        <v>2091</v>
      </c>
      <c r="K9" s="24"/>
      <c r="L9" s="24">
        <v>1</v>
      </c>
      <c r="M9" s="24">
        <v>0</v>
      </c>
      <c r="O9" s="25" t="str">
        <f>CONCATENATE(CI_!$R$1,C9,", '",D9,"', '",E9,"' , '",F9,"' , ",G9,",",H9,",'",I9,"',",J9,",'",K9,"',",L9,",",M9)</f>
        <v>EXECUTE [dbo].[PG_CI_USUARIO_PEARL] 139, 48, 'IVAND', '5623' , 'IVAND@PEARLLEATHER.COM.MX' , 4,30,'IG STYLE.ISL',2091,'',1,0</v>
      </c>
      <c r="P9" s="26"/>
    </row>
    <row r="10" spans="1:18" s="16" customFormat="1" x14ac:dyDescent="0.25">
      <c r="A10" s="18"/>
      <c r="B10" s="19">
        <v>139</v>
      </c>
      <c r="C10" s="20">
        <v>49</v>
      </c>
      <c r="D10" s="21" t="s">
        <v>228</v>
      </c>
      <c r="E10" s="22" t="s">
        <v>304</v>
      </c>
      <c r="F10" s="22" t="s">
        <v>348</v>
      </c>
      <c r="G10" s="23">
        <v>2</v>
      </c>
      <c r="H10" s="23">
        <v>30</v>
      </c>
      <c r="I10" s="24" t="s">
        <v>395</v>
      </c>
      <c r="J10" s="24">
        <v>10901</v>
      </c>
      <c r="K10" s="24"/>
      <c r="L10" s="24">
        <v>1</v>
      </c>
      <c r="M10" s="24">
        <v>0</v>
      </c>
      <c r="O10" s="25" t="str">
        <f>CONCATENATE(CI_!$R$1,C10,", '",D10,"', '",E10,"' , '",F10,"' , ",G10,",",H10,",'",I10,"',",J10,",'",K10,"',",L10,",",M10)</f>
        <v>EXECUTE [dbo].[PG_CI_USUARIO_PEARL] 139, 49, 'OSCART', '7890' , 'OSCART@PEARLLEATHER.COM.MX' , 2,30,'NATILUS.ISL',10901,'',1,0</v>
      </c>
      <c r="P10" s="26"/>
    </row>
    <row r="11" spans="1:18" s="16" customFormat="1" x14ac:dyDescent="0.25">
      <c r="A11" s="18"/>
      <c r="B11" s="19">
        <v>139</v>
      </c>
      <c r="C11" s="20">
        <v>51</v>
      </c>
      <c r="D11" s="21" t="s">
        <v>229</v>
      </c>
      <c r="E11" s="22" t="s">
        <v>305</v>
      </c>
      <c r="F11" s="22" t="s">
        <v>349</v>
      </c>
      <c r="H11" s="23">
        <v>30</v>
      </c>
      <c r="I11" s="24" t="s">
        <v>394</v>
      </c>
      <c r="J11" s="24">
        <v>0</v>
      </c>
      <c r="K11" s="24" t="s">
        <v>405</v>
      </c>
      <c r="L11" s="24">
        <v>1</v>
      </c>
      <c r="M11" s="24">
        <v>0</v>
      </c>
      <c r="O11" s="25" t="str">
        <f>CONCATENATE(CI_!$R$1,C11,", '",D11,"', '",E11,"' , '",F11,"' , ",G11,",",H11,",'",I11,"',",J11,",'",K11,"',",L11,",",M11)</f>
        <v>EXECUTE [dbo].[PG_CI_USUARIO_PEARL] 139, 51, 'RECIBO1', '12345' , 'PEDROA@PEARLLEATHER.COM.MX' , ,30,'IG STYLE.ISL',0,'recibo',1,0</v>
      </c>
      <c r="P11" s="26"/>
    </row>
    <row r="12" spans="1:18" s="16" customFormat="1" x14ac:dyDescent="0.25">
      <c r="A12" s="18"/>
      <c r="B12" s="19">
        <v>139</v>
      </c>
      <c r="C12" s="20">
        <v>52</v>
      </c>
      <c r="D12" s="21" t="s">
        <v>230</v>
      </c>
      <c r="E12" s="22" t="s">
        <v>298</v>
      </c>
      <c r="F12" s="22" t="s">
        <v>349</v>
      </c>
      <c r="H12" s="23">
        <v>30</v>
      </c>
      <c r="I12" s="24" t="s">
        <v>396</v>
      </c>
      <c r="J12" s="24">
        <v>0</v>
      </c>
      <c r="K12" s="24" t="s">
        <v>405</v>
      </c>
      <c r="L12" s="24">
        <v>1</v>
      </c>
      <c r="M12" s="24">
        <v>0</v>
      </c>
      <c r="O12" s="25" t="str">
        <f>CONCATENATE(CI_!$R$1,C12,", '",D12,"', '",E12,"' , '",F12,"' , ",G12,",",H12,",'",I12,"',",J12,",'",K12,"',",L12,",",M12)</f>
        <v>EXECUTE [dbo].[PG_CI_USUARIO_PEARL] 139, 52, 'RECIBO2', '12340' , 'PEDROA@PEARLLEATHER.COM.MX' , ,30,'THE BLUES.ISL',0,'recibo',1,0</v>
      </c>
      <c r="P12" s="26"/>
    </row>
    <row r="13" spans="1:18" s="16" customFormat="1" x14ac:dyDescent="0.25">
      <c r="A13" s="18"/>
      <c r="B13" s="19">
        <v>139</v>
      </c>
      <c r="C13" s="20">
        <v>54</v>
      </c>
      <c r="D13" s="21" t="s">
        <v>231</v>
      </c>
      <c r="E13" s="22" t="s">
        <v>306</v>
      </c>
      <c r="F13" s="22" t="s">
        <v>350</v>
      </c>
      <c r="G13" s="23">
        <v>1</v>
      </c>
      <c r="H13" s="23">
        <v>40</v>
      </c>
      <c r="I13" s="24" t="s">
        <v>392</v>
      </c>
      <c r="J13" s="24">
        <v>6898</v>
      </c>
      <c r="K13" s="24"/>
      <c r="L13" s="24">
        <v>1</v>
      </c>
      <c r="M13" s="24">
        <v>0</v>
      </c>
      <c r="O13" s="25" t="str">
        <f>CONCATENATE(CI_!$R$1,C13,", '",D13,"', '",E13,"' , '",F13,"' , ",G13,",",H13,",'",I13,"',",J13,",'",K13,"',",L13,",",M13)</f>
        <v>EXECUTE [dbo].[PG_CI_USUARIO_PEARL] 139, 54, 'GILBERTOV', 'Alexander1' , 'GILBERTOV@PEARLLEATHER.COM.MX' , 1,40,'RED PLANET.ISL',6898,'',1,0</v>
      </c>
      <c r="P13" s="26"/>
    </row>
    <row r="14" spans="1:18" s="16" customFormat="1" x14ac:dyDescent="0.25">
      <c r="A14" s="18"/>
      <c r="B14" s="19">
        <v>139</v>
      </c>
      <c r="C14" s="20">
        <v>56</v>
      </c>
      <c r="D14" s="21" t="s">
        <v>232</v>
      </c>
      <c r="E14" s="22" t="s">
        <v>307</v>
      </c>
      <c r="F14" s="22" t="s">
        <v>351</v>
      </c>
      <c r="G14" s="23">
        <v>3</v>
      </c>
      <c r="H14" s="23">
        <v>50</v>
      </c>
      <c r="I14" s="24" t="s">
        <v>393</v>
      </c>
      <c r="J14" s="24">
        <v>4475</v>
      </c>
      <c r="K14" s="24"/>
      <c r="L14" s="24">
        <v>1</v>
      </c>
      <c r="M14" s="24">
        <v>0</v>
      </c>
      <c r="O14" s="25" t="str">
        <f>CONCATENATE(CI_!$R$1,C14,", '",D14,"', '",E14,"' , '",F14,"' , ",G14,",",H14,",'",I14,"',",J14,",'",K14,"',",L14,",",M14)</f>
        <v>EXECUTE [dbo].[PG_CI_USUARIO_PEARL] 139, 56, 'MANUELG', 'Mangar83' , 'MANUELG@PEARLLEATHER.COM.MX' , 3,50,'FLAT NATURE.ISL',4475,'',1,0</v>
      </c>
      <c r="P14" s="26"/>
    </row>
    <row r="15" spans="1:18" s="16" customFormat="1" x14ac:dyDescent="0.25">
      <c r="A15" s="18"/>
      <c r="B15" s="19">
        <v>139</v>
      </c>
      <c r="C15" s="20">
        <v>57</v>
      </c>
      <c r="D15" s="21" t="s">
        <v>233</v>
      </c>
      <c r="E15" s="22" t="s">
        <v>308</v>
      </c>
      <c r="F15" s="22" t="s">
        <v>352</v>
      </c>
      <c r="G15" s="23">
        <v>8</v>
      </c>
      <c r="H15" s="23">
        <v>30</v>
      </c>
      <c r="I15" s="24" t="s">
        <v>393</v>
      </c>
      <c r="J15" s="24">
        <v>7658</v>
      </c>
      <c r="K15" s="24"/>
      <c r="L15" s="24">
        <v>1</v>
      </c>
      <c r="M15" s="24">
        <v>0</v>
      </c>
      <c r="O15" s="25" t="str">
        <f>CONCATENATE(CI_!$R$1,C15,", '",D15,"', '",E15,"' , '",F15,"' , ",G15,",",H15,",'",I15,"',",J15,",'",K15,"',",L15,",",M15)</f>
        <v>EXECUTE [dbo].[PG_CI_USUARIO_PEARL] 139, 57, 'FABIOLAG', 'fabiola' , 'FABIOLAG@PEARLLEATHER.COM.MX' , 8,30,'FLAT NATURE.ISL',7658,'',1,0</v>
      </c>
      <c r="P15" s="26"/>
    </row>
    <row r="16" spans="1:18" s="16" customFormat="1" x14ac:dyDescent="0.25">
      <c r="A16" s="18"/>
      <c r="B16" s="19">
        <v>139</v>
      </c>
      <c r="C16" s="20">
        <v>58</v>
      </c>
      <c r="D16" s="21" t="s">
        <v>234</v>
      </c>
      <c r="E16" s="22" t="s">
        <v>309</v>
      </c>
      <c r="F16" s="22" t="s">
        <v>353</v>
      </c>
      <c r="G16" s="23">
        <v>3</v>
      </c>
      <c r="H16" s="23">
        <v>30</v>
      </c>
      <c r="I16" s="24" t="s">
        <v>393</v>
      </c>
      <c r="J16" s="24">
        <v>10151</v>
      </c>
      <c r="K16" s="24"/>
      <c r="L16" s="24">
        <v>1</v>
      </c>
      <c r="M16" s="24">
        <v>0</v>
      </c>
      <c r="O16" s="25" t="str">
        <f>CONCATENATE(CI_!$R$1,C16,", '",D16,"', '",E16,"' , '",F16,"' , ",G16,",",H16,",'",I16,"',",J16,",'",K16,"',",L16,",",M16)</f>
        <v>EXECUTE [dbo].[PG_CI_USUARIO_PEARL] 139, 58, 'DIANAS', '1604' , '@PEARLLEATHER.COM.MX' , 3,30,'FLAT NATURE.ISL',10151,'',1,0</v>
      </c>
      <c r="P16" s="26"/>
    </row>
    <row r="17" spans="1:16" s="16" customFormat="1" x14ac:dyDescent="0.25">
      <c r="A17" s="18"/>
      <c r="B17" s="19">
        <v>139</v>
      </c>
      <c r="C17" s="20">
        <v>59</v>
      </c>
      <c r="D17" s="21" t="s">
        <v>235</v>
      </c>
      <c r="E17" s="22" t="s">
        <v>310</v>
      </c>
      <c r="F17" s="22" t="s">
        <v>56</v>
      </c>
      <c r="G17" s="23">
        <v>3</v>
      </c>
      <c r="H17" s="23">
        <v>30</v>
      </c>
      <c r="I17" s="24" t="s">
        <v>393</v>
      </c>
      <c r="J17" s="24">
        <v>6176</v>
      </c>
      <c r="K17" s="24"/>
      <c r="L17" s="24">
        <v>1</v>
      </c>
      <c r="M17" s="24">
        <v>0</v>
      </c>
      <c r="O17" s="25" t="str">
        <f>CONCATENATE(CI_!$R$1,C17,", '",D17,"', '",E17,"' , '",F17,"' , ",G17,",",H17,",'",I17,"',",J17,",'",K17,"',",L17,",",M17)</f>
        <v>EXECUTE [dbo].[PG_CI_USUARIO_PEARL] 139, 59, 'ALEJANDROP', 'alex' , 'EMBARQUES1@PEARLLEATHER.COM.MX' , 3,30,'FLAT NATURE.ISL',6176,'',1,0</v>
      </c>
      <c r="P17" s="26"/>
    </row>
    <row r="18" spans="1:16" s="16" customFormat="1" x14ac:dyDescent="0.25">
      <c r="A18" s="18"/>
      <c r="B18" s="19">
        <v>139</v>
      </c>
      <c r="C18" s="20">
        <v>60</v>
      </c>
      <c r="D18" s="21" t="s">
        <v>236</v>
      </c>
      <c r="E18" s="22" t="s">
        <v>311</v>
      </c>
      <c r="F18" s="22" t="s">
        <v>354</v>
      </c>
      <c r="G18" s="23">
        <v>8</v>
      </c>
      <c r="H18" s="23">
        <v>30</v>
      </c>
      <c r="I18" s="24" t="s">
        <v>393</v>
      </c>
      <c r="J18" s="24">
        <v>67</v>
      </c>
      <c r="K18" s="24"/>
      <c r="L18" s="24">
        <v>1</v>
      </c>
      <c r="M18" s="24">
        <v>0</v>
      </c>
      <c r="O18" s="25" t="str">
        <f>CONCATENATE(CI_!$R$1,C18,", '",D18,"', '",E18,"' , '",F18,"' , ",G18,",",H18,",'",I18,"',",J18,",'",K18,"',",L18,",",M18)</f>
        <v>EXECUTE [dbo].[PG_CI_USUARIO_PEARL] 139, 60, 'ADRIANAD', 'adriana' , 'ADRIANAD@PEARLLEATHER.COM.MX' , 8,30,'FLAT NATURE.ISL',67,'',1,0</v>
      </c>
      <c r="P18" s="26"/>
    </row>
    <row r="19" spans="1:16" s="16" customFormat="1" x14ac:dyDescent="0.25">
      <c r="A19" s="18"/>
      <c r="B19" s="19">
        <v>139</v>
      </c>
      <c r="C19" s="20">
        <v>62</v>
      </c>
      <c r="D19" s="21" t="s">
        <v>237</v>
      </c>
      <c r="E19" s="22" t="s">
        <v>312</v>
      </c>
      <c r="F19" s="22" t="s">
        <v>355</v>
      </c>
      <c r="G19" s="23">
        <v>1</v>
      </c>
      <c r="H19" s="23">
        <v>30</v>
      </c>
      <c r="I19" s="24" t="s">
        <v>393</v>
      </c>
      <c r="J19" s="24">
        <v>7945</v>
      </c>
      <c r="K19" s="24"/>
      <c r="L19" s="24">
        <v>1</v>
      </c>
      <c r="M19" s="24">
        <v>0</v>
      </c>
      <c r="O19" s="25" t="str">
        <f>CONCATENATE(CI_!$R$1,C19,", '",D19,"', '",E19,"' , '",F19,"' , ",G19,",",H19,",'",I19,"',",J19,",'",K19,"',",L19,",",M19)</f>
        <v>EXECUTE [dbo].[PG_CI_USUARIO_PEARL] 139, 62, 'PATRICIAC', 'mebi1625' , 'PATRICIAC@PEARLLEATHER.COM.MX' , 1,30,'FLAT NATURE.ISL',7945,'',1,0</v>
      </c>
      <c r="P19" s="26"/>
    </row>
    <row r="20" spans="1:16" s="16" customFormat="1" x14ac:dyDescent="0.25">
      <c r="A20" s="18"/>
      <c r="B20" s="19">
        <v>139</v>
      </c>
      <c r="C20" s="20">
        <v>63</v>
      </c>
      <c r="D20" s="21" t="s">
        <v>238</v>
      </c>
      <c r="E20" s="22" t="s">
        <v>313</v>
      </c>
      <c r="F20" s="22" t="s">
        <v>356</v>
      </c>
      <c r="H20" s="23">
        <v>40</v>
      </c>
      <c r="I20" s="24" t="s">
        <v>394</v>
      </c>
      <c r="J20" s="24">
        <v>0</v>
      </c>
      <c r="K20" s="24" t="s">
        <v>66</v>
      </c>
      <c r="L20" s="24">
        <v>1</v>
      </c>
      <c r="M20" s="24">
        <v>1</v>
      </c>
      <c r="O20" s="25" t="str">
        <f>CONCATENATE(CI_!$R$1,C20,", '",D20,"', '",E20,"' , '",F20,"' , ",G20,",",H20,",'",I20,"',",J20,",'",K20,"',",L20,",",M20)</f>
        <v>EXECUTE [dbo].[PG_CI_USUARIO_PEARL] 139, 63, 'LUISP', 'luis' , 'LUISP@PEARLLEATHER.COM.MX' , ,40,'IG STYLE.ISL',0,'luis perez',1,1</v>
      </c>
      <c r="P20" s="26"/>
    </row>
    <row r="21" spans="1:16" s="16" customFormat="1" x14ac:dyDescent="0.25">
      <c r="A21" s="18"/>
      <c r="B21" s="19">
        <v>139</v>
      </c>
      <c r="C21" s="20">
        <v>64</v>
      </c>
      <c r="D21" s="21" t="s">
        <v>239</v>
      </c>
      <c r="E21" s="22" t="s">
        <v>298</v>
      </c>
      <c r="F21" s="22" t="s">
        <v>357</v>
      </c>
      <c r="G21" s="23">
        <v>2</v>
      </c>
      <c r="H21" s="23">
        <v>30</v>
      </c>
      <c r="I21" s="24" t="s">
        <v>392</v>
      </c>
      <c r="J21" s="24">
        <v>7549</v>
      </c>
      <c r="K21" s="24"/>
      <c r="L21" s="24">
        <v>1</v>
      </c>
      <c r="M21" s="24">
        <v>0</v>
      </c>
      <c r="O21" s="25" t="str">
        <f>CONCATENATE(CI_!$R$1,C21,", '",D21,"', '",E21,"' , '",F21,"' , ",G21,",",H21,",'",I21,"',",J21,",'",K21,"',",L21,",",M21)</f>
        <v>EXECUTE [dbo].[PG_CI_USUARIO_PEARL] 139, 64, 'LEONORH', '12340' , 'LEONORH@PEARLLEATHER.COM.MX' , 2,30,'RED PLANET.ISL',7549,'',1,0</v>
      </c>
      <c r="P21" s="26"/>
    </row>
    <row r="22" spans="1:16" s="16" customFormat="1" x14ac:dyDescent="0.25">
      <c r="A22" s="18"/>
      <c r="B22" s="19">
        <v>139</v>
      </c>
      <c r="C22" s="20">
        <v>66</v>
      </c>
      <c r="D22" s="21" t="s">
        <v>240</v>
      </c>
      <c r="E22" s="22" t="s">
        <v>314</v>
      </c>
      <c r="F22" s="22" t="s">
        <v>358</v>
      </c>
      <c r="G22" s="23">
        <v>3</v>
      </c>
      <c r="H22" s="23">
        <v>30</v>
      </c>
      <c r="I22" s="24" t="s">
        <v>392</v>
      </c>
      <c r="J22" s="24">
        <v>10382</v>
      </c>
      <c r="K22" s="24"/>
      <c r="L22" s="24">
        <v>1</v>
      </c>
      <c r="M22" s="24">
        <v>0</v>
      </c>
      <c r="O22" s="25" t="str">
        <f>CONCATENATE(CI_!$R$1,C22,", '",D22,"', '",E22,"' , '",F22,"' , ",G22,",",H22,",'",I22,"',",J22,",'",K22,"',",L22,",",M22)</f>
        <v>EXECUTE [dbo].[PG_CI_USUARIO_PEARL] 139, 66, 'KARENE', '200816' , 'RECIBO@PEARLLEATHER.COM.MX' , 3,30,'RED PLANET.ISL',10382,'',1,0</v>
      </c>
      <c r="P22" s="26"/>
    </row>
    <row r="23" spans="1:16" s="16" customFormat="1" x14ac:dyDescent="0.25">
      <c r="A23" s="18"/>
      <c r="B23" s="19">
        <v>139</v>
      </c>
      <c r="C23" s="20">
        <v>67</v>
      </c>
      <c r="D23" s="21" t="s">
        <v>241</v>
      </c>
      <c r="E23" s="22" t="s">
        <v>305</v>
      </c>
      <c r="F23" s="22" t="s">
        <v>359</v>
      </c>
      <c r="G23" s="23">
        <v>2</v>
      </c>
      <c r="H23" s="23">
        <v>30</v>
      </c>
      <c r="I23" s="24" t="s">
        <v>396</v>
      </c>
      <c r="J23" s="24">
        <v>5628</v>
      </c>
      <c r="K23" s="24"/>
      <c r="L23" s="24">
        <v>1</v>
      </c>
      <c r="M23" s="24">
        <v>0</v>
      </c>
      <c r="O23" s="25" t="str">
        <f>CONCATENATE(CI_!$R$1,C23,", '",D23,"', '",E23,"' , '",F23,"' , ",G23,",",H23,",'",I23,"',",J23,",'",K23,"',",L23,",",M23)</f>
        <v>EXECUTE [dbo].[PG_CI_USUARIO_PEARL] 139, 67, 'GASPARH', '12345' , 'GASPARH@PEARLLEATHER.COM.MX' , 2,30,'THE BLUES.ISL',5628,'',1,0</v>
      </c>
      <c r="P23" s="26"/>
    </row>
    <row r="24" spans="1:16" s="16" customFormat="1" x14ac:dyDescent="0.25">
      <c r="A24" s="18"/>
      <c r="B24" s="19">
        <v>139</v>
      </c>
      <c r="C24" s="20">
        <v>68</v>
      </c>
      <c r="D24" s="21" t="s">
        <v>242</v>
      </c>
      <c r="E24" s="22" t="s">
        <v>315</v>
      </c>
      <c r="F24" s="22" t="s">
        <v>360</v>
      </c>
      <c r="G24" s="23">
        <v>2</v>
      </c>
      <c r="H24" s="23">
        <v>30</v>
      </c>
      <c r="I24" s="24" t="s">
        <v>393</v>
      </c>
      <c r="J24" s="24">
        <v>7041</v>
      </c>
      <c r="K24" s="24"/>
      <c r="L24" s="24">
        <v>1</v>
      </c>
      <c r="M24" s="24">
        <v>0</v>
      </c>
      <c r="O24" s="25" t="str">
        <f>CONCATENATE(CI_!$R$1,C24,", '",D24,"', '",E24,"' , '",F24,"' , ",G24,",",H24,",'",I24,"',",J24,",'",K24,"',",L24,",",M24)</f>
        <v>EXECUTE [dbo].[PG_CI_USUARIO_PEARL] 139, 68, 'ARMIDAH', '2878' , 'ARMIDAH@PEARLLEATHER.COM.MX' , 2,30,'FLAT NATURE.ISL',7041,'',1,0</v>
      </c>
      <c r="P24" s="26"/>
    </row>
    <row r="25" spans="1:16" s="16" customFormat="1" x14ac:dyDescent="0.25">
      <c r="A25" s="18"/>
      <c r="B25" s="19">
        <v>139</v>
      </c>
      <c r="C25" s="20">
        <v>69</v>
      </c>
      <c r="D25" s="21" t="s">
        <v>243</v>
      </c>
      <c r="E25" s="22" t="s">
        <v>305</v>
      </c>
      <c r="F25" s="22" t="s">
        <v>361</v>
      </c>
      <c r="G25" s="23">
        <v>8</v>
      </c>
      <c r="H25" s="23">
        <v>30</v>
      </c>
      <c r="I25" s="24" t="s">
        <v>393</v>
      </c>
      <c r="J25" s="24">
        <v>4158</v>
      </c>
      <c r="K25" s="24"/>
      <c r="L25" s="24">
        <v>1</v>
      </c>
      <c r="M25" s="24">
        <v>0</v>
      </c>
      <c r="O25" s="25" t="str">
        <f>CONCATENATE(CI_!$R$1,C25,", '",D25,"', '",E25,"' , '",F25,"' , ",G25,",",H25,",'",I25,"',",J25,",'",K25,"',",L25,",",M25)</f>
        <v>EXECUTE [dbo].[PG_CI_USUARIO_PEARL] 139, 69, 'MARIAS', '12345' , 'MARIAS@PEARLLEATHER.COM.MX' , 8,30,'FLAT NATURE.ISL',4158,'',1,0</v>
      </c>
      <c r="P25" s="26"/>
    </row>
    <row r="26" spans="1:16" s="16" customFormat="1" x14ac:dyDescent="0.25">
      <c r="A26" s="18"/>
      <c r="B26" s="19">
        <v>139</v>
      </c>
      <c r="C26" s="20">
        <v>70</v>
      </c>
      <c r="D26" s="21" t="s">
        <v>244</v>
      </c>
      <c r="E26" s="22" t="s">
        <v>316</v>
      </c>
      <c r="F26" s="22" t="s">
        <v>362</v>
      </c>
      <c r="G26" s="23">
        <v>3</v>
      </c>
      <c r="H26" s="23">
        <v>40</v>
      </c>
      <c r="I26" s="24" t="s">
        <v>392</v>
      </c>
      <c r="J26" s="24">
        <v>8464</v>
      </c>
      <c r="K26" s="24"/>
      <c r="L26" s="24">
        <v>1</v>
      </c>
      <c r="M26" s="24">
        <v>0</v>
      </c>
      <c r="O26" s="25" t="str">
        <f>CONCATENATE(CI_!$R$1,C26,", '",D26,"', '",E26,"' , '",F26,"' , ",G26,",",H26,",'",I26,"',",J26,",'",K26,"',",L26,",",M26)</f>
        <v>EXECUTE [dbo].[PG_CI_USUARIO_PEARL] 139, 70, 'FERNANDOG', 'ferny' , 'FERNANDOG@PEARLLEATHER.COM.MX' , 3,40,'RED PLANET.ISL',8464,'',1,0</v>
      </c>
      <c r="P26" s="26"/>
    </row>
    <row r="27" spans="1:16" s="16" customFormat="1" x14ac:dyDescent="0.25">
      <c r="A27" s="18"/>
      <c r="B27" s="19">
        <v>139</v>
      </c>
      <c r="C27" s="20">
        <v>71</v>
      </c>
      <c r="D27" s="21" t="s">
        <v>245</v>
      </c>
      <c r="E27" s="22" t="s">
        <v>317</v>
      </c>
      <c r="F27" s="22" t="s">
        <v>363</v>
      </c>
      <c r="H27" s="23">
        <v>30</v>
      </c>
      <c r="I27" s="24" t="s">
        <v>393</v>
      </c>
      <c r="J27" s="24">
        <v>0</v>
      </c>
      <c r="K27" s="24" t="s">
        <v>401</v>
      </c>
      <c r="L27" s="24">
        <v>1</v>
      </c>
      <c r="M27" s="24">
        <v>1</v>
      </c>
      <c r="O27" s="25" t="str">
        <f>CONCATENATE(CI_!$R$1,C27,", '",D27,"', '",E27,"' , '",F27,"' , ",G27,",",H27,",'",I27,"',",J27,",'",K27,"',",L27,",",M27)</f>
        <v>EXECUTE [dbo].[PG_CI_USUARIO_PEARL] 139, 71, 'NAVIDR', 'kgi01!' , 'NAVID@RACHMANTECH.COM' , ,30,'FLAT NATURE.ISL',0,'magna',1,1</v>
      </c>
      <c r="P27" s="26"/>
    </row>
    <row r="28" spans="1:16" s="16" customFormat="1" x14ac:dyDescent="0.25">
      <c r="A28" s="18"/>
      <c r="B28" s="19">
        <v>139</v>
      </c>
      <c r="C28" s="20">
        <v>72</v>
      </c>
      <c r="D28" s="21" t="s">
        <v>246</v>
      </c>
      <c r="E28" s="22" t="s">
        <v>318</v>
      </c>
      <c r="F28" s="22" t="s">
        <v>353</v>
      </c>
      <c r="G28" s="23">
        <v>4</v>
      </c>
      <c r="H28" s="23">
        <v>40</v>
      </c>
      <c r="I28" s="24" t="s">
        <v>396</v>
      </c>
      <c r="J28" s="24">
        <v>11879</v>
      </c>
      <c r="K28" s="24"/>
      <c r="L28" s="24">
        <v>1</v>
      </c>
      <c r="M28" s="24">
        <v>0</v>
      </c>
      <c r="O28" s="25" t="str">
        <f>CONCATENATE(CI_!$R$1,C28,", '",D28,"', '",E28,"' , '",F28,"' , ",G28,",",H28,",'",I28,"',",J28,",'",K28,"',",L28,",",M28)</f>
        <v>EXECUTE [dbo].[PG_CI_USUARIO_PEARL] 139, 72, 'ROXANAL', '123789' , '@PEARLLEATHER.COM.MX' , 4,40,'THE BLUES.ISL',11879,'',1,0</v>
      </c>
      <c r="P28" s="26"/>
    </row>
    <row r="29" spans="1:16" s="16" customFormat="1" x14ac:dyDescent="0.25">
      <c r="A29" s="18"/>
      <c r="B29" s="19">
        <v>139</v>
      </c>
      <c r="C29" s="20">
        <v>73</v>
      </c>
      <c r="D29" s="21" t="s">
        <v>247</v>
      </c>
      <c r="E29" s="22" t="s">
        <v>319</v>
      </c>
      <c r="F29" s="22" t="s">
        <v>364</v>
      </c>
      <c r="H29" s="23">
        <v>30</v>
      </c>
      <c r="I29" s="24" t="s">
        <v>393</v>
      </c>
      <c r="J29" s="24">
        <v>0</v>
      </c>
      <c r="K29" s="24" t="s">
        <v>402</v>
      </c>
      <c r="L29" s="24">
        <v>1</v>
      </c>
      <c r="M29" s="24">
        <v>1</v>
      </c>
      <c r="O29" s="25" t="str">
        <f>CONCATENATE(CI_!$R$1,C29,", '",D29,"', '",E29,"' , '",F29,"' , ",G29,",",H29,",'",I29,"',",J29,",'",K29,"',",L29,",",M29)</f>
        <v>EXECUTE [dbo].[PG_CI_USUARIO_PEARL] 139, 73, 'YAMILEXQ', '1234' , 'YAMILEXQ@PEARLLEATHER.COM.MX' , ,30,'FLAT NATURE.ISL',0,'yamilex',1,1</v>
      </c>
      <c r="P29" s="26"/>
    </row>
    <row r="30" spans="1:16" s="16" customFormat="1" x14ac:dyDescent="0.25">
      <c r="A30" s="18"/>
      <c r="B30" s="19">
        <v>139</v>
      </c>
      <c r="C30" s="20">
        <v>75</v>
      </c>
      <c r="D30" s="21" t="s">
        <v>248</v>
      </c>
      <c r="E30" s="22" t="s">
        <v>320</v>
      </c>
      <c r="F30" s="22" t="s">
        <v>365</v>
      </c>
      <c r="G30" s="23">
        <v>4</v>
      </c>
      <c r="H30" s="23">
        <v>30</v>
      </c>
      <c r="I30" s="24" t="s">
        <v>397</v>
      </c>
      <c r="J30" s="24">
        <v>12769</v>
      </c>
      <c r="K30" s="24"/>
      <c r="L30" s="24">
        <v>1</v>
      </c>
      <c r="M30" s="24">
        <v>0</v>
      </c>
      <c r="O30" s="25" t="str">
        <f>CONCATENATE(CI_!$R$1,C30,", '",D30,"', '",E30,"' , '",F30,"' , ",G30,",",H30,",'",I30,"',",J30,",'",K30,"',",L30,",",M30)</f>
        <v>EXECUTE [dbo].[PG_CI_USUARIO_PEARL] 139, 75, 'KARENA', '102' , 'KARENA@PEARLLEATHER.COM.MX' , 4,30,'NOIR MODERNE.ISL',12769,'',1,0</v>
      </c>
      <c r="P30" s="26"/>
    </row>
    <row r="31" spans="1:16" s="16" customFormat="1" x14ac:dyDescent="0.25">
      <c r="A31" s="18"/>
      <c r="B31" s="19">
        <v>139</v>
      </c>
      <c r="C31" s="20">
        <v>77</v>
      </c>
      <c r="D31" s="21" t="s">
        <v>249</v>
      </c>
      <c r="E31" s="22" t="s">
        <v>305</v>
      </c>
      <c r="F31" s="22" t="s">
        <v>56</v>
      </c>
      <c r="G31" s="23">
        <v>3</v>
      </c>
      <c r="H31" s="23">
        <v>30</v>
      </c>
      <c r="I31" s="24" t="s">
        <v>393</v>
      </c>
      <c r="J31" s="24">
        <v>4880</v>
      </c>
      <c r="K31" s="24"/>
      <c r="L31" s="24">
        <v>1</v>
      </c>
      <c r="M31" s="24">
        <v>0</v>
      </c>
      <c r="O31" s="25" t="str">
        <f>CONCATENATE(CI_!$R$1,C31,", '",D31,"', '",E31,"' , '",F31,"' , ",G31,",",H31,",'",I31,"',",J31,",'",K31,"',",L31,",",M31)</f>
        <v>EXECUTE [dbo].[PG_CI_USUARIO_PEARL] 139, 77, 'GENAROH', '12345' , 'EMBARQUES1@PEARLLEATHER.COM.MX' , 3,30,'FLAT NATURE.ISL',4880,'',1,0</v>
      </c>
      <c r="P31" s="26"/>
    </row>
    <row r="32" spans="1:16" s="16" customFormat="1" x14ac:dyDescent="0.25">
      <c r="A32" s="18"/>
      <c r="B32" s="19">
        <v>139</v>
      </c>
      <c r="C32" s="20">
        <v>82</v>
      </c>
      <c r="D32" s="21" t="s">
        <v>250</v>
      </c>
      <c r="E32" s="22" t="s">
        <v>321</v>
      </c>
      <c r="F32" s="22" t="s">
        <v>366</v>
      </c>
      <c r="G32" s="23">
        <v>4</v>
      </c>
      <c r="H32" s="23">
        <v>30</v>
      </c>
      <c r="I32" s="24" t="s">
        <v>393</v>
      </c>
      <c r="J32" s="24">
        <v>10054</v>
      </c>
      <c r="K32" s="24"/>
      <c r="L32" s="24">
        <v>1</v>
      </c>
      <c r="M32" s="24">
        <v>0</v>
      </c>
      <c r="O32" s="25" t="str">
        <f>CONCATENATE(CI_!$R$1,C32,", '",D32,"', '",E32,"' , '",F32,"' , ",G32,",",H32,",'",I32,"',",J32,",'",K32,"',",L32,",",M32)</f>
        <v>EXECUTE [dbo].[PG_CI_USUARIO_PEARL] 139, 82, 'DANAC', '2697' , 'CERTI@PEARLLEATHER.COM.MX' , 4,30,'FLAT NATURE.ISL',10054,'',1,0</v>
      </c>
      <c r="P32" s="26"/>
    </row>
    <row r="33" spans="1:16" s="16" customFormat="1" x14ac:dyDescent="0.25">
      <c r="A33" s="18"/>
      <c r="B33" s="19">
        <v>139</v>
      </c>
      <c r="C33" s="20">
        <v>83</v>
      </c>
      <c r="D33" s="21" t="s">
        <v>251</v>
      </c>
      <c r="E33" s="22" t="s">
        <v>322</v>
      </c>
      <c r="F33" s="22" t="s">
        <v>366</v>
      </c>
      <c r="H33" s="23">
        <v>30</v>
      </c>
      <c r="I33" s="24" t="s">
        <v>392</v>
      </c>
      <c r="J33" s="24">
        <v>0</v>
      </c>
      <c r="K33" s="24" t="s">
        <v>94</v>
      </c>
      <c r="L33" s="24">
        <v>1</v>
      </c>
      <c r="M33" s="24">
        <v>1</v>
      </c>
      <c r="O33" s="25" t="str">
        <f>CONCATENATE(CI_!$R$1,C33,", '",D33,"', '",E33,"' , '",F33,"' , ",G33,",",H33,",'",I33,"',",J33,",'",K33,"',",L33,",",M33)</f>
        <v>EXECUTE [dbo].[PG_CI_USUARIO_PEARL] 139, 83, 'MARIANAC', '1986' , 'CERTI@PEARLLEATHER.COM.MX' , ,30,'RED PLANET.ISL',0,'mariana castro',1,1</v>
      </c>
      <c r="P33" s="26"/>
    </row>
    <row r="34" spans="1:16" s="16" customFormat="1" x14ac:dyDescent="0.25">
      <c r="A34" s="18"/>
      <c r="B34" s="19">
        <v>139</v>
      </c>
      <c r="C34" s="20">
        <v>86</v>
      </c>
      <c r="D34" s="21" t="s">
        <v>252</v>
      </c>
      <c r="E34" s="22" t="s">
        <v>323</v>
      </c>
      <c r="F34" s="22" t="s">
        <v>367</v>
      </c>
      <c r="G34" s="23">
        <v>4</v>
      </c>
      <c r="H34" s="23">
        <v>30</v>
      </c>
      <c r="I34" s="24" t="s">
        <v>393</v>
      </c>
      <c r="J34" s="24">
        <v>3589</v>
      </c>
      <c r="K34" s="24"/>
      <c r="L34" s="24">
        <v>1</v>
      </c>
      <c r="M34" s="24">
        <v>0</v>
      </c>
      <c r="O34" s="25" t="str">
        <f>CONCATENATE(CI_!$R$1,C34,", '",D34,"', '",E34,"' , '",F34,"' , ",G34,",",H34,",'",I34,"',",J34,",'",K34,"',",L34,",",M34)</f>
        <v>EXECUTE [dbo].[PG_CI_USUARIO_PEARL] 139, 86, 'JORGEO', 'calidad.30' , 'JOLEGARIO@PEARLLEATHER.COM.MX' , 4,30,'FLAT NATURE.ISL',3589,'',1,0</v>
      </c>
      <c r="P34" s="26"/>
    </row>
    <row r="35" spans="1:16" s="16" customFormat="1" x14ac:dyDescent="0.25">
      <c r="A35" s="18"/>
      <c r="B35" s="19">
        <v>139</v>
      </c>
      <c r="C35" s="20">
        <v>87</v>
      </c>
      <c r="D35" s="21" t="s">
        <v>253</v>
      </c>
      <c r="E35" s="22" t="s">
        <v>324</v>
      </c>
      <c r="F35" s="22" t="s">
        <v>358</v>
      </c>
      <c r="G35" s="23">
        <v>3</v>
      </c>
      <c r="H35" s="23">
        <v>40</v>
      </c>
      <c r="I35" s="24" t="s">
        <v>392</v>
      </c>
      <c r="J35" s="24">
        <v>10221</v>
      </c>
      <c r="K35" s="24"/>
      <c r="L35" s="24">
        <v>1</v>
      </c>
      <c r="M35" s="24">
        <v>0</v>
      </c>
      <c r="O35" s="25" t="str">
        <f>CONCATENATE(CI_!$R$1,C35,", '",D35,"', '",E35,"' , '",F35,"' , ",G35,",",H35,",'",I35,"',",J35,",'",K35,"',",L35,",",M35)</f>
        <v>EXECUTE [dbo].[PG_CI_USUARIO_PEARL] 139, 87, 'DIANAN', 'Facturas1' , 'RECIBO@PEARLLEATHER.COM.MX' , 3,40,'RED PLANET.ISL',10221,'',1,0</v>
      </c>
      <c r="P35" s="26"/>
    </row>
    <row r="36" spans="1:16" s="16" customFormat="1" x14ac:dyDescent="0.25">
      <c r="A36" s="18"/>
      <c r="B36" s="19">
        <v>139</v>
      </c>
      <c r="C36" s="20">
        <v>88</v>
      </c>
      <c r="D36" s="21" t="s">
        <v>254</v>
      </c>
      <c r="E36" s="22" t="s">
        <v>325</v>
      </c>
      <c r="F36" s="22" t="s">
        <v>368</v>
      </c>
      <c r="H36" s="23">
        <v>30</v>
      </c>
      <c r="I36" s="24" t="s">
        <v>392</v>
      </c>
      <c r="J36" s="24">
        <v>0</v>
      </c>
      <c r="K36" s="24" t="s">
        <v>403</v>
      </c>
      <c r="L36" s="24">
        <v>1</v>
      </c>
      <c r="M36" s="24">
        <v>0</v>
      </c>
      <c r="O36" s="25" t="str">
        <f>CONCATENATE(CI_!$R$1,C36,", '",D36,"', '",E36,"' , '",F36,"' , ",G36,",",H36,",'",I36,"',",J36,",'",K36,"',",L36,",",M36)</f>
        <v>EXECUTE [dbo].[PG_CI_USUARIO_PEARL] 139, 88, 'SISTEMAS', 'm@ster++' , 'SISTEMAS@PEARLLEATHER.COM.MX' , ,30,'RED PLANET.ISL',0,'sistemas',1,0</v>
      </c>
      <c r="P36" s="26"/>
    </row>
    <row r="37" spans="1:16" s="16" customFormat="1" x14ac:dyDescent="0.25">
      <c r="A37" s="18"/>
      <c r="B37" s="19">
        <v>139</v>
      </c>
      <c r="C37" s="20">
        <v>89</v>
      </c>
      <c r="D37" s="21" t="s">
        <v>255</v>
      </c>
      <c r="E37" s="22" t="s">
        <v>326</v>
      </c>
      <c r="F37" s="22" t="s">
        <v>369</v>
      </c>
      <c r="G37" s="23">
        <v>4</v>
      </c>
      <c r="H37" s="23">
        <v>30</v>
      </c>
      <c r="I37" s="24" t="s">
        <v>393</v>
      </c>
      <c r="J37" s="24">
        <v>8242</v>
      </c>
      <c r="K37" s="24"/>
      <c r="L37" s="24">
        <v>1</v>
      </c>
      <c r="M37" s="24">
        <v>0</v>
      </c>
      <c r="O37" s="25" t="str">
        <f>CONCATENATE(CI_!$R$1,C37,", '",D37,"', '",E37,"' , '",F37,"' , ",G37,",",H37,",'",I37,"',",J37,",'",K37,"',",L37,",",M37)</f>
        <v>EXECUTE [dbo].[PG_CI_USUARIO_PEARL] 139, 89, 'VIVIANAC', '123450' , 'VIVIANC@PEARLLEATHER.COM.MX' , 4,30,'FLAT NATURE.ISL',8242,'',1,0</v>
      </c>
      <c r="P37" s="26"/>
    </row>
    <row r="38" spans="1:16" s="16" customFormat="1" x14ac:dyDescent="0.25">
      <c r="A38" s="18"/>
      <c r="B38" s="19">
        <v>139</v>
      </c>
      <c r="C38" s="20">
        <v>90</v>
      </c>
      <c r="D38" s="21" t="s">
        <v>256</v>
      </c>
      <c r="E38" s="22" t="s">
        <v>327</v>
      </c>
      <c r="F38" s="22" t="s">
        <v>358</v>
      </c>
      <c r="G38" s="23">
        <v>3</v>
      </c>
      <c r="H38" s="23">
        <v>30</v>
      </c>
      <c r="I38" s="24" t="s">
        <v>398</v>
      </c>
      <c r="J38" s="24">
        <v>10209</v>
      </c>
      <c r="K38" s="24"/>
      <c r="L38" s="24">
        <v>1</v>
      </c>
      <c r="M38" s="24">
        <v>0</v>
      </c>
      <c r="O38" s="25" t="str">
        <f>CONCATENATE(CI_!$R$1,C38,", '",D38,"', '",E38,"' , '",F38,"' , ",G38,",",H38,",'",I38,"',",J38,",'",K38,"',",L38,",",M38)</f>
        <v>EXECUTE [dbo].[PG_CI_USUARIO_PEARL] 139, 90, 'TANIAC', '1726' , 'RECIBO@PEARLLEATHER.COM.MX' , 3,30,'BLACK STYLE.ISL',10209,'',1,0</v>
      </c>
      <c r="P38" s="26"/>
    </row>
    <row r="39" spans="1:16" s="16" customFormat="1" x14ac:dyDescent="0.25">
      <c r="A39" s="18"/>
      <c r="B39" s="19">
        <v>139</v>
      </c>
      <c r="C39" s="20">
        <v>92</v>
      </c>
      <c r="D39" s="21" t="s">
        <v>257</v>
      </c>
      <c r="E39" s="22" t="s">
        <v>328</v>
      </c>
      <c r="F39" s="22" t="s">
        <v>370</v>
      </c>
      <c r="G39" s="23">
        <v>2</v>
      </c>
      <c r="H39" s="23">
        <v>30</v>
      </c>
      <c r="I39" s="24" t="s">
        <v>394</v>
      </c>
      <c r="J39" s="24">
        <v>13253</v>
      </c>
      <c r="K39" s="24"/>
      <c r="L39" s="24">
        <v>1</v>
      </c>
      <c r="M39" s="24">
        <v>0</v>
      </c>
      <c r="O39" s="25" t="str">
        <f>CONCATENATE(CI_!$R$1,C39,", '",D39,"', '",E39,"' , '",F39,"' , ",G39,",",H39,",'",I39,"',",J39,",'",K39,"',",L39,",",M39)</f>
        <v>EXECUTE [dbo].[PG_CI_USUARIO_PEARL] 139, 92, 'JOSES', 'jose48320031' , 'JOSES@PEARLLEATHER.COM.MX' , 2,30,'IG STYLE.ISL',13253,'',1,0</v>
      </c>
      <c r="P39" s="26"/>
    </row>
    <row r="40" spans="1:16" s="16" customFormat="1" x14ac:dyDescent="0.25">
      <c r="A40" s="18"/>
      <c r="B40" s="19">
        <v>139</v>
      </c>
      <c r="C40" s="20">
        <v>93</v>
      </c>
      <c r="D40" s="21" t="s">
        <v>258</v>
      </c>
      <c r="E40" s="22" t="s">
        <v>305</v>
      </c>
      <c r="F40" s="22" t="s">
        <v>371</v>
      </c>
      <c r="H40" s="23">
        <v>30</v>
      </c>
      <c r="I40" s="24" t="s">
        <v>395</v>
      </c>
      <c r="J40" s="24">
        <v>0</v>
      </c>
      <c r="K40" s="24" t="s">
        <v>112</v>
      </c>
      <c r="L40" s="24">
        <v>1</v>
      </c>
      <c r="M40" s="24">
        <v>1</v>
      </c>
      <c r="O40" s="25" t="str">
        <f>CONCATENATE(CI_!$R$1,C40,", '",D40,"', '",E40,"' , '",F40,"' , ",G40,",",H40,",'",I40,"',",J40,",'",K40,"',",L40,",",M40)</f>
        <v>EXECUTE [dbo].[PG_CI_USUARIO_PEARL] 139, 93, 'MARIAR', '12345' , 'MARIAR@PEARLLEATHER.COM.MX' , ,30,'NATILUS.ISL',0,'maria romo',1,1</v>
      </c>
      <c r="P40" s="26"/>
    </row>
    <row r="41" spans="1:16" s="16" customFormat="1" x14ac:dyDescent="0.25">
      <c r="A41" s="18"/>
      <c r="B41" s="19">
        <v>139</v>
      </c>
      <c r="C41" s="20">
        <v>94</v>
      </c>
      <c r="D41" s="21" t="s">
        <v>259</v>
      </c>
      <c r="E41" s="22" t="s">
        <v>329</v>
      </c>
      <c r="F41" s="22" t="s">
        <v>353</v>
      </c>
      <c r="G41" s="23">
        <v>2</v>
      </c>
      <c r="H41" s="23">
        <v>30</v>
      </c>
      <c r="I41" s="24" t="s">
        <v>394</v>
      </c>
      <c r="J41" s="24">
        <v>13189</v>
      </c>
      <c r="K41" s="24"/>
      <c r="L41" s="24">
        <v>1</v>
      </c>
      <c r="M41" s="24">
        <v>0</v>
      </c>
      <c r="O41" s="25" t="str">
        <f>CONCATENATE(CI_!$R$1,C41,", '",D41,"', '",E41,"' , '",F41,"' , ",G41,",",H41,",'",I41,"',",J41,",'",K41,"',",L41,",",M41)</f>
        <v>EXECUTE [dbo].[PG_CI_USUARIO_PEARL] 139, 94, 'FRANCISCOM', 'cuarris987' , '@PEARLLEATHER.COM.MX' , 2,30,'IG STYLE.ISL',13189,'',1,0</v>
      </c>
      <c r="P41" s="26"/>
    </row>
    <row r="42" spans="1:16" s="16" customFormat="1" x14ac:dyDescent="0.25">
      <c r="A42" s="18"/>
      <c r="B42" s="19">
        <v>139</v>
      </c>
      <c r="C42" s="20">
        <v>96</v>
      </c>
      <c r="D42" s="21" t="s">
        <v>260</v>
      </c>
      <c r="E42" s="22" t="s">
        <v>305</v>
      </c>
      <c r="F42" s="22" t="s">
        <v>372</v>
      </c>
      <c r="G42" s="23">
        <v>2</v>
      </c>
      <c r="H42" s="23">
        <v>30</v>
      </c>
      <c r="I42" s="24" t="s">
        <v>394</v>
      </c>
      <c r="J42" s="24">
        <v>13005</v>
      </c>
      <c r="K42" s="24"/>
      <c r="L42" s="24">
        <v>1</v>
      </c>
      <c r="M42" s="24">
        <v>0</v>
      </c>
      <c r="O42" s="25" t="str">
        <f>CONCATENATE(CI_!$R$1,C42,", '",D42,"', '",E42,"' , '",F42,"' , ",G42,",",H42,",'",I42,"',",J42,",'",K42,"',",L42,",",M42)</f>
        <v>EXECUTE [dbo].[PG_CI_USUARIO_PEARL] 139, 96, 'SANTOSR', '12345' , 'SANTOSR@PEARLLEATHER.COM.MX' , 2,30,'IG STYLE.ISL',13005,'',1,0</v>
      </c>
      <c r="P42" s="26"/>
    </row>
    <row r="43" spans="1:16" s="16" customFormat="1" x14ac:dyDescent="0.25">
      <c r="A43" s="18"/>
      <c r="B43" s="19">
        <v>139</v>
      </c>
      <c r="C43" s="20">
        <v>97</v>
      </c>
      <c r="D43" s="21" t="s">
        <v>261</v>
      </c>
      <c r="E43" s="22" t="s">
        <v>319</v>
      </c>
      <c r="F43" s="22" t="s">
        <v>373</v>
      </c>
      <c r="H43" s="23">
        <v>30</v>
      </c>
      <c r="I43" s="24" t="s">
        <v>394</v>
      </c>
      <c r="J43" s="24">
        <v>0</v>
      </c>
      <c r="K43" s="24" t="s">
        <v>120</v>
      </c>
      <c r="L43" s="24">
        <v>1</v>
      </c>
      <c r="M43" s="24">
        <v>1</v>
      </c>
      <c r="O43" s="25" t="str">
        <f>CONCATENATE(CI_!$R$1,C43,", '",D43,"', '",E43,"' , '",F43,"' , ",G43,",",H43,",'",I43,"',",J43,",'",K43,"',",L43,",",M43)</f>
        <v>EXECUTE [dbo].[PG_CI_USUARIO_PEARL] 139, 97, 'ELENAR', '1234' , 'ELENAR@PEARLLEATHER.COM.MX' , ,30,'IG STYLE.ISL',0,'elena rodriguez',1,1</v>
      </c>
      <c r="P43" s="26"/>
    </row>
    <row r="44" spans="1:16" s="16" customFormat="1" x14ac:dyDescent="0.25">
      <c r="A44" s="18"/>
      <c r="B44" s="19">
        <v>139</v>
      </c>
      <c r="C44" s="20">
        <v>98</v>
      </c>
      <c r="D44" s="21" t="s">
        <v>262</v>
      </c>
      <c r="E44" s="22" t="s">
        <v>330</v>
      </c>
      <c r="F44" s="22" t="s">
        <v>358</v>
      </c>
      <c r="G44" s="23">
        <v>3</v>
      </c>
      <c r="H44" s="23">
        <v>30</v>
      </c>
      <c r="I44" s="24" t="s">
        <v>392</v>
      </c>
      <c r="J44" s="24">
        <v>10569</v>
      </c>
      <c r="K44" s="24"/>
      <c r="L44" s="24">
        <v>1</v>
      </c>
      <c r="M44" s="24">
        <v>0</v>
      </c>
      <c r="O44" s="25" t="str">
        <f>CONCATENATE(CI_!$R$1,C44,", '",D44,"', '",E44,"' , '",F44,"' , ",G44,",",H44,",'",I44,"',",J44,",'",K44,"',",L44,",",M44)</f>
        <v>EXECUTE [dbo].[PG_CI_USUARIO_PEARL] 139, 98, 'MONICAG', '7410' , 'RECIBO@PEARLLEATHER.COM.MX' , 3,30,'RED PLANET.ISL',10569,'',1,0</v>
      </c>
      <c r="P44" s="26"/>
    </row>
    <row r="45" spans="1:16" s="16" customFormat="1" x14ac:dyDescent="0.25">
      <c r="A45" s="18"/>
      <c r="B45" s="19">
        <v>139</v>
      </c>
      <c r="C45" s="20">
        <v>101</v>
      </c>
      <c r="D45" s="21" t="s">
        <v>263</v>
      </c>
      <c r="E45" s="22" t="s">
        <v>331</v>
      </c>
      <c r="F45" s="22" t="s">
        <v>353</v>
      </c>
      <c r="H45" s="23">
        <v>30</v>
      </c>
      <c r="I45" s="24" t="s">
        <v>392</v>
      </c>
      <c r="J45" s="24">
        <v>0</v>
      </c>
      <c r="K45" s="24" t="s">
        <v>123</v>
      </c>
      <c r="L45" s="24">
        <v>1</v>
      </c>
      <c r="M45" s="24">
        <v>1</v>
      </c>
      <c r="O45" s="25" t="str">
        <f>CONCATENATE(CI_!$R$1,C45,", '",D45,"', '",E45,"' , '",F45,"' , ",G45,",",H45,",'",I45,"',",J45,",'",K45,"',",L45,",",M45)</f>
        <v>EXECUTE [dbo].[PG_CI_USUARIO_PEARL] 139, 101, 'LEYVERR', '193105' , '@PEARLLEATHER.COM.MX' , ,30,'RED PLANET.ISL',0,'leyver roblero',1,1</v>
      </c>
      <c r="P45" s="26"/>
    </row>
    <row r="46" spans="1:16" s="16" customFormat="1" x14ac:dyDescent="0.25">
      <c r="A46" s="18"/>
      <c r="B46" s="19">
        <v>139</v>
      </c>
      <c r="C46" s="20">
        <v>102</v>
      </c>
      <c r="D46" s="21" t="s">
        <v>264</v>
      </c>
      <c r="E46" s="22" t="s">
        <v>305</v>
      </c>
      <c r="F46" s="22" t="s">
        <v>353</v>
      </c>
      <c r="G46" s="23">
        <v>4</v>
      </c>
      <c r="H46" s="23">
        <v>30</v>
      </c>
      <c r="I46" s="24" t="s">
        <v>393</v>
      </c>
      <c r="J46" s="24">
        <v>10222</v>
      </c>
      <c r="K46" s="24"/>
      <c r="L46" s="24">
        <v>1</v>
      </c>
      <c r="M46" s="24">
        <v>0</v>
      </c>
      <c r="O46" s="25" t="str">
        <f>CONCATENATE(CI_!$R$1,C46,", '",D46,"', '",E46,"' , '",F46,"' , ",G46,",",H46,",'",I46,"',",J46,",'",K46,"',",L46,",",M46)</f>
        <v>EXECUTE [dbo].[PG_CI_USUARIO_PEARL] 139, 102, 'EDGARA', '12345' , '@PEARLLEATHER.COM.MX' , 4,30,'FLAT NATURE.ISL',10222,'',1,0</v>
      </c>
      <c r="P46" s="26"/>
    </row>
    <row r="47" spans="1:16" s="16" customFormat="1" x14ac:dyDescent="0.25">
      <c r="A47" s="18"/>
      <c r="B47" s="19">
        <v>139</v>
      </c>
      <c r="C47" s="20">
        <v>103</v>
      </c>
      <c r="D47" s="21" t="s">
        <v>265</v>
      </c>
      <c r="E47" s="22" t="s">
        <v>332</v>
      </c>
      <c r="F47" s="22" t="s">
        <v>374</v>
      </c>
      <c r="H47" s="23">
        <v>30</v>
      </c>
      <c r="I47" s="24" t="s">
        <v>393</v>
      </c>
      <c r="J47" s="24">
        <v>0</v>
      </c>
      <c r="K47" s="24" t="s">
        <v>404</v>
      </c>
      <c r="L47" s="24">
        <v>1</v>
      </c>
      <c r="M47" s="24">
        <v>0</v>
      </c>
      <c r="O47" s="25" t="str">
        <f>CONCATENATE(CI_!$R$1,C47,", '",D47,"', '",E47,"' , '",F47,"' , ",G47,",",H47,",'",I47,"',",J47,",'",K47,"',",L47,",",M47)</f>
        <v>EXECUTE [dbo].[PG_CI_USUARIO_PEARL] 139, 103, 'SUPERVISOR', 'super10' , 'XX@PEARLLEATHER.COM.MX' , ,30,'FLAT NATURE.ISL',0,'supervisor',1,0</v>
      </c>
      <c r="P47" s="26"/>
    </row>
    <row r="48" spans="1:16" s="16" customFormat="1" x14ac:dyDescent="0.25">
      <c r="A48" s="18"/>
      <c r="B48" s="19">
        <v>139</v>
      </c>
      <c r="C48" s="20">
        <v>108</v>
      </c>
      <c r="D48" s="21" t="s">
        <v>266</v>
      </c>
      <c r="E48" s="22" t="s">
        <v>333</v>
      </c>
      <c r="F48" s="22" t="s">
        <v>375</v>
      </c>
      <c r="G48" s="23">
        <v>12</v>
      </c>
      <c r="H48" s="23">
        <v>30</v>
      </c>
      <c r="I48" s="24" t="s">
        <v>393</v>
      </c>
      <c r="J48" s="24">
        <v>5913</v>
      </c>
      <c r="K48" s="24"/>
      <c r="L48" s="24">
        <v>1</v>
      </c>
      <c r="M48" s="24">
        <v>0</v>
      </c>
      <c r="O48" s="25" t="str">
        <f>CONCATENATE(CI_!$R$1,C48,", '",D48,"', '",E48,"' , '",F48,"' , ",G48,",",H48,",'",I48,"',",J48,",'",K48,"',",L48,",",M48)</f>
        <v>EXECUTE [dbo].[PG_CI_USUARIO_PEARL] 139, 108, 'VICTORC', 'Password1' , 'VICTORC@PEARLLEATHER.COM.MX' , 12,30,'FLAT NATURE.ISL',5913,'',1,0</v>
      </c>
      <c r="P48" s="26"/>
    </row>
    <row r="49" spans="1:16" s="16" customFormat="1" x14ac:dyDescent="0.25">
      <c r="A49" s="18"/>
      <c r="B49" s="19">
        <v>139</v>
      </c>
      <c r="C49" s="20">
        <v>109</v>
      </c>
      <c r="D49" s="21" t="s">
        <v>267</v>
      </c>
      <c r="E49" s="22" t="s">
        <v>319</v>
      </c>
      <c r="F49" s="22" t="s">
        <v>376</v>
      </c>
      <c r="G49" s="23">
        <v>5</v>
      </c>
      <c r="H49" s="23">
        <v>30</v>
      </c>
      <c r="I49" s="24" t="s">
        <v>392</v>
      </c>
      <c r="J49" s="24">
        <v>11258</v>
      </c>
      <c r="K49" s="24"/>
      <c r="L49" s="24">
        <v>1</v>
      </c>
      <c r="M49" s="24">
        <v>0</v>
      </c>
      <c r="O49" s="25" t="str">
        <f>CONCATENATE(CI_!$R$1,C49,", '",D49,"', '",E49,"' , '",F49,"' , ",G49,",",H49,",'",I49,"',",J49,",'",K49,"',",L49,",",M49)</f>
        <v>EXECUTE [dbo].[PG_CI_USUARIO_PEARL] 139, 109, 'ASIFUENTES', '1234' , 'ALBERTOS@PEARLLEATHER.COM.MX' , 5,30,'RED PLANET.ISL',11258,'',1,0</v>
      </c>
      <c r="P49" s="26"/>
    </row>
    <row r="50" spans="1:16" s="16" customFormat="1" x14ac:dyDescent="0.25">
      <c r="A50" s="18"/>
      <c r="B50" s="19">
        <v>139</v>
      </c>
      <c r="C50" s="20">
        <v>110</v>
      </c>
      <c r="D50" s="21" t="s">
        <v>268</v>
      </c>
      <c r="E50" s="22" t="s">
        <v>319</v>
      </c>
      <c r="F50" s="22" t="s">
        <v>377</v>
      </c>
      <c r="H50" s="23">
        <v>30</v>
      </c>
      <c r="I50" s="24" t="s">
        <v>396</v>
      </c>
      <c r="J50" s="24">
        <v>0</v>
      </c>
      <c r="K50" s="24" t="s">
        <v>135</v>
      </c>
      <c r="L50" s="24">
        <v>1</v>
      </c>
      <c r="M50" s="24">
        <v>1</v>
      </c>
      <c r="O50" s="25" t="str">
        <f>CONCATENATE(CI_!$R$1,C50,", '",D50,"', '",E50,"' , '",F50,"' , ",G50,",",H50,",'",I50,"',",J50,",'",K50,"',",L50,",",M50)</f>
        <v>EXECUTE [dbo].[PG_CI_USUARIO_PEARL] 139, 110, 'FRAYJ', '1234' , 'FRAYJ@PEARLLEATHER.COM.MX' , ,30,'THE BLUES.ISL',0,'fray jimenez',1,1</v>
      </c>
      <c r="P50" s="26"/>
    </row>
    <row r="51" spans="1:16" s="16" customFormat="1" x14ac:dyDescent="0.25">
      <c r="A51" s="18"/>
      <c r="B51" s="19">
        <v>139</v>
      </c>
      <c r="C51" s="20">
        <v>111</v>
      </c>
      <c r="D51" s="21" t="s">
        <v>269</v>
      </c>
      <c r="E51" s="22" t="s">
        <v>305</v>
      </c>
      <c r="F51" s="22" t="s">
        <v>378</v>
      </c>
      <c r="G51" s="23">
        <v>4</v>
      </c>
      <c r="H51" s="23">
        <v>30</v>
      </c>
      <c r="I51" s="24" t="s">
        <v>395</v>
      </c>
      <c r="J51" s="24">
        <v>11476</v>
      </c>
      <c r="K51" s="24"/>
      <c r="L51" s="24">
        <v>1</v>
      </c>
      <c r="M51" s="24">
        <v>0</v>
      </c>
      <c r="O51" s="25" t="str">
        <f>CONCATENATE(CI_!$R$1,C51,", '",D51,"', '",E51,"' , '",F51,"' , ",G51,",",H51,",'",I51,"',",J51,",'",K51,"',",L51,",",M51)</f>
        <v>EXECUTE [dbo].[PG_CI_USUARIO_PEARL] 139, 111, 'ADRIANAI', '12345' , 'ADRIANAI@PEARLLEATHER.COM.MX' , 4,30,'NATILUS.ISL',11476,'',1,0</v>
      </c>
      <c r="P51" s="26"/>
    </row>
    <row r="52" spans="1:16" s="16" customFormat="1" x14ac:dyDescent="0.25">
      <c r="A52" s="18"/>
      <c r="B52" s="19">
        <v>139</v>
      </c>
      <c r="C52" s="20">
        <v>112</v>
      </c>
      <c r="D52" s="21" t="s">
        <v>270</v>
      </c>
      <c r="E52" s="22" t="s">
        <v>334</v>
      </c>
      <c r="F52" s="22" t="s">
        <v>353</v>
      </c>
      <c r="H52" s="23">
        <v>30</v>
      </c>
      <c r="I52" s="24" t="s">
        <v>399</v>
      </c>
      <c r="J52" s="24">
        <v>0</v>
      </c>
      <c r="K52" s="24" t="s">
        <v>140</v>
      </c>
      <c r="L52" s="24">
        <v>1</v>
      </c>
      <c r="M52" s="24">
        <v>1</v>
      </c>
      <c r="O52" s="25" t="str">
        <f>CONCATENATE(CI_!$R$1,C52,", '",D52,"', '",E52,"' , '",F52,"' , ",G52,",",H52,",'",I52,"',",J52,",'",K52,"',",L52,",",M52)</f>
        <v>EXECUTE [dbo].[PG_CI_USUARIO_PEARL] 139, 112, 'ALMAZ', '123' , '@PEARLLEATHER.COM.MX' , ,30,'MISTIC BROWN.ISL',0,'alma zuniga',1,1</v>
      </c>
      <c r="P52" s="26"/>
    </row>
    <row r="53" spans="1:16" s="16" customFormat="1" x14ac:dyDescent="0.25">
      <c r="A53" s="18"/>
      <c r="B53" s="19">
        <v>139</v>
      </c>
      <c r="C53" s="20">
        <v>113</v>
      </c>
      <c r="D53" s="21" t="s">
        <v>271</v>
      </c>
      <c r="E53" s="22" t="s">
        <v>335</v>
      </c>
      <c r="F53" s="22" t="s">
        <v>379</v>
      </c>
      <c r="H53" s="23">
        <v>50</v>
      </c>
      <c r="I53" s="24" t="s">
        <v>400</v>
      </c>
      <c r="J53" s="24">
        <v>0</v>
      </c>
      <c r="K53" s="24" t="s">
        <v>145</v>
      </c>
      <c r="L53" s="24">
        <v>1</v>
      </c>
      <c r="M53" s="24">
        <v>1</v>
      </c>
      <c r="O53" s="25" t="str">
        <f>CONCATENATE(CI_!$R$1,C53,", '",D53,"', '",E53,"' , '",F53,"' , ",G53,",",H53,",'",I53,"',",J53,",'",K53,"',",L53,",",M53)</f>
        <v>EXECUTE [dbo].[PG_CI_USUARIO_PEARL] 139, 113, 'ERNESTOG', '*eder0607' , 'ERNESTOG@PEARLLEATHER.COM.MX' , ,50,'BLACK.ISL',0,'ernesto gaytan',1,1</v>
      </c>
      <c r="P53" s="26"/>
    </row>
    <row r="54" spans="1:16" s="16" customFormat="1" x14ac:dyDescent="0.25">
      <c r="A54" s="18"/>
      <c r="B54" s="19">
        <v>139</v>
      </c>
      <c r="C54" s="20">
        <v>114</v>
      </c>
      <c r="D54" s="21" t="s">
        <v>272</v>
      </c>
      <c r="E54" s="22" t="s">
        <v>333</v>
      </c>
      <c r="F54" s="22" t="s">
        <v>380</v>
      </c>
      <c r="H54" s="23">
        <v>40</v>
      </c>
      <c r="I54" s="24" t="s">
        <v>397</v>
      </c>
      <c r="J54" s="24">
        <v>0</v>
      </c>
      <c r="K54" s="24" t="s">
        <v>148</v>
      </c>
      <c r="L54" s="24">
        <v>1</v>
      </c>
      <c r="M54" s="24">
        <v>1</v>
      </c>
      <c r="O54" s="25" t="str">
        <f>CONCATENATE(CI_!$R$1,C54,", '",D54,"', '",E54,"' , '",F54,"' , ",G54,",",H54,",'",I54,"',",J54,",'",K54,"',",L54,",",M54)</f>
        <v>EXECUTE [dbo].[PG_CI_USUARIO_PEARL] 139, 114, 'JOSUEC', 'Password1' , 'JOSUEC@PEARLLEATHER.COM.MX' , ,40,'NOIR MODERNE.ISL',0,'josue chavez',1,1</v>
      </c>
      <c r="P54" s="26"/>
    </row>
    <row r="55" spans="1:16" s="16" customFormat="1" x14ac:dyDescent="0.25">
      <c r="A55" s="18"/>
      <c r="B55" s="19">
        <v>139</v>
      </c>
      <c r="C55" s="20">
        <v>115</v>
      </c>
      <c r="D55" s="21" t="s">
        <v>273</v>
      </c>
      <c r="E55" s="22" t="s">
        <v>298</v>
      </c>
      <c r="F55" s="22" t="s">
        <v>381</v>
      </c>
      <c r="G55" s="23">
        <v>1</v>
      </c>
      <c r="H55" s="23">
        <v>30</v>
      </c>
      <c r="I55" s="24" t="s">
        <v>393</v>
      </c>
      <c r="J55" s="24">
        <v>515</v>
      </c>
      <c r="K55" s="24"/>
      <c r="L55" s="24">
        <v>1</v>
      </c>
      <c r="M55" s="24">
        <v>0</v>
      </c>
      <c r="O55" s="25" t="str">
        <f>CONCATENATE(CI_!$R$1,C55,", '",D55,"', '",E55,"' , '",F55,"' , ",G55,",",H55,",'",I55,"',",J55,",'",K55,"',",L55,",",M55)</f>
        <v>EXECUTE [dbo].[PG_CI_USUARIO_PEARL] 139, 115, 'SONIAO', '12340' , 'SONIAO@PEARLLEATHER.COM.MX' , 1,30,'FLAT NATURE.ISL',515,'',1,0</v>
      </c>
      <c r="P55" s="26"/>
    </row>
    <row r="56" spans="1:16" s="16" customFormat="1" x14ac:dyDescent="0.25">
      <c r="A56" s="18"/>
      <c r="B56" s="19">
        <v>139</v>
      </c>
      <c r="C56" s="20">
        <v>116</v>
      </c>
      <c r="D56" s="21" t="s">
        <v>274</v>
      </c>
      <c r="E56" s="22" t="s">
        <v>333</v>
      </c>
      <c r="F56" s="22" t="s">
        <v>353</v>
      </c>
      <c r="G56" s="23">
        <v>4</v>
      </c>
      <c r="H56" s="23">
        <v>30</v>
      </c>
      <c r="I56" s="24" t="s">
        <v>394</v>
      </c>
      <c r="J56" s="24">
        <v>11834</v>
      </c>
      <c r="K56" s="24"/>
      <c r="L56" s="24">
        <v>1</v>
      </c>
      <c r="M56" s="24">
        <v>0</v>
      </c>
      <c r="O56" s="25" t="str">
        <f>CONCATENATE(CI_!$R$1,C56,", '",D56,"', '",E56,"' , '",F56,"' , ",G56,",",H56,",'",I56,"',",J56,",'",K56,"',",L56,",",M56)</f>
        <v>EXECUTE [dbo].[PG_CI_USUARIO_PEARL] 139, 116, 'PERLAH', 'Password1' , '@PEARLLEATHER.COM.MX' , 4,30,'IG STYLE.ISL',11834,'',1,0</v>
      </c>
      <c r="P56" s="26"/>
    </row>
    <row r="57" spans="1:16" s="16" customFormat="1" x14ac:dyDescent="0.25">
      <c r="A57" s="18"/>
      <c r="B57" s="19">
        <v>139</v>
      </c>
      <c r="C57" s="20">
        <v>120</v>
      </c>
      <c r="D57" s="21" t="s">
        <v>275</v>
      </c>
      <c r="E57" s="22" t="s">
        <v>336</v>
      </c>
      <c r="F57" s="22" t="s">
        <v>353</v>
      </c>
      <c r="G57" s="23">
        <v>3</v>
      </c>
      <c r="H57" s="23">
        <v>30</v>
      </c>
      <c r="I57" s="24" t="s">
        <v>397</v>
      </c>
      <c r="J57" s="24">
        <v>11716</v>
      </c>
      <c r="K57" s="24"/>
      <c r="L57" s="24">
        <v>1</v>
      </c>
      <c r="M57" s="24">
        <v>0</v>
      </c>
      <c r="O57" s="25" t="str">
        <f>CONCATENATE(CI_!$R$1,C57,", '",D57,"', '",E57,"' , '",F57,"' , ",G57,",",H57,",'",I57,"',",J57,",'",K57,"',",L57,",",M57)</f>
        <v>EXECUTE [dbo].[PG_CI_USUARIO_PEARL] 139, 120, 'ALFREDOA', 'saiddamian' , '@PEARLLEATHER.COM.MX' , 3,30,'NOIR MODERNE.ISL',11716,'',1,0</v>
      </c>
      <c r="P57" s="26"/>
    </row>
    <row r="58" spans="1:16" s="16" customFormat="1" x14ac:dyDescent="0.25">
      <c r="A58" s="18"/>
      <c r="B58" s="19">
        <v>139</v>
      </c>
      <c r="C58" s="20">
        <v>121</v>
      </c>
      <c r="D58" s="21" t="s">
        <v>276</v>
      </c>
      <c r="E58" s="22" t="s">
        <v>298</v>
      </c>
      <c r="F58" s="22" t="s">
        <v>382</v>
      </c>
      <c r="G58" s="23">
        <v>1</v>
      </c>
      <c r="H58" s="23">
        <v>30</v>
      </c>
      <c r="I58" s="24" t="s">
        <v>393</v>
      </c>
      <c r="J58" s="24">
        <v>7283</v>
      </c>
      <c r="K58" s="24"/>
      <c r="L58" s="24">
        <v>1</v>
      </c>
      <c r="M58" s="24">
        <v>0</v>
      </c>
      <c r="O58" s="25" t="str">
        <f>CONCATENATE(CI_!$R$1,C58,", '",D58,"', '",E58,"' , '",F58,"' , ",G58,",",H58,",'",I58,"',",J58,",'",K58,"',",L58,",",M58)</f>
        <v>EXECUTE [dbo].[PG_CI_USUARIO_PEARL] 139, 121, 'LUZM', '12340' , 'LUZM@PEARLLEATHER.COM.MX' , 1,30,'FLAT NATURE.ISL',7283,'',1,0</v>
      </c>
      <c r="P58" s="26"/>
    </row>
    <row r="59" spans="1:16" s="16" customFormat="1" x14ac:dyDescent="0.25">
      <c r="A59" s="18"/>
      <c r="B59" s="19">
        <v>139</v>
      </c>
      <c r="C59" s="20">
        <v>122</v>
      </c>
      <c r="D59" s="21" t="s">
        <v>277</v>
      </c>
      <c r="E59" s="22" t="s">
        <v>298</v>
      </c>
      <c r="F59" s="22" t="s">
        <v>383</v>
      </c>
      <c r="H59" s="23">
        <v>30</v>
      </c>
      <c r="I59" s="24" t="s">
        <v>392</v>
      </c>
      <c r="J59" s="24">
        <v>0</v>
      </c>
      <c r="K59" s="24" t="s">
        <v>158</v>
      </c>
      <c r="L59" s="24">
        <v>1</v>
      </c>
      <c r="M59" s="24">
        <v>1</v>
      </c>
      <c r="O59" s="25" t="str">
        <f>CONCATENATE(CI_!$R$1,C59,", '",D59,"', '",E59,"' , '",F59,"' , ",G59,",",H59,",'",I59,"',",J59,",'",K59,"',",L59,",",M59)</f>
        <v>EXECUTE [dbo].[PG_CI_USUARIO_PEARL] 139, 122, 'JESUSR', '12340' , 'JESUSR@PEARLLEATHER.COM.MX' , ,30,'RED PLANET.ISL',0,'jesus rojero',1,1</v>
      </c>
      <c r="P59" s="26"/>
    </row>
    <row r="60" spans="1:16" s="16" customFormat="1" x14ac:dyDescent="0.25">
      <c r="A60" s="18"/>
      <c r="B60" s="19">
        <v>139</v>
      </c>
      <c r="C60" s="20">
        <v>123</v>
      </c>
      <c r="D60" s="21" t="s">
        <v>278</v>
      </c>
      <c r="E60" s="22" t="s">
        <v>319</v>
      </c>
      <c r="F60" s="22" t="s">
        <v>384</v>
      </c>
      <c r="G60" s="23">
        <v>5</v>
      </c>
      <c r="H60" s="23">
        <v>30</v>
      </c>
      <c r="I60" s="24" t="s">
        <v>392</v>
      </c>
      <c r="J60" s="24">
        <v>11524</v>
      </c>
      <c r="K60" s="24"/>
      <c r="L60" s="24">
        <v>1</v>
      </c>
      <c r="M60" s="24">
        <v>0</v>
      </c>
      <c r="O60" s="25" t="str">
        <f>CONCATENATE(CI_!$R$1,C60,", '",D60,"', '",E60,"' , '",F60,"' , ",G60,",",H60,",'",I60,"',",J60,",'",K60,"',",L60,",",M60)</f>
        <v>EXECUTE [dbo].[PG_CI_USUARIO_PEARL] 139, 123, 'JORGEN', '1234' , 'ADRIANN@PEARLLEATHER.COM.MX' , 5,30,'RED PLANET.ISL',11524,'',1,0</v>
      </c>
      <c r="P60" s="26"/>
    </row>
    <row r="61" spans="1:16" s="16" customFormat="1" x14ac:dyDescent="0.25">
      <c r="A61" s="18"/>
      <c r="B61" s="19">
        <v>139</v>
      </c>
      <c r="C61" s="20">
        <v>125</v>
      </c>
      <c r="D61" s="21" t="s">
        <v>279</v>
      </c>
      <c r="E61" s="22" t="s">
        <v>305</v>
      </c>
      <c r="F61" s="22" t="s">
        <v>385</v>
      </c>
      <c r="G61" s="23">
        <v>1</v>
      </c>
      <c r="H61" s="23">
        <v>30</v>
      </c>
      <c r="I61" s="24" t="s">
        <v>393</v>
      </c>
      <c r="J61" s="24">
        <v>8524</v>
      </c>
      <c r="K61" s="24"/>
      <c r="L61" s="24">
        <v>1</v>
      </c>
      <c r="M61" s="24">
        <v>0</v>
      </c>
      <c r="O61" s="25" t="str">
        <f>CONCATENATE(CI_!$R$1,C61,", '",D61,"', '",E61,"' , '",F61,"' , ",G61,",",H61,",'",I61,"',",J61,",'",K61,"',",L61,",",M61)</f>
        <v>EXECUTE [dbo].[PG_CI_USUARIO_PEARL] 139, 125, 'IRISE', '12345' , 'IRISE@PEARLLEATHER.COM.MX' , 1,30,'FLAT NATURE.ISL',8524,'',1,0</v>
      </c>
      <c r="P61" s="26"/>
    </row>
    <row r="62" spans="1:16" s="16" customFormat="1" x14ac:dyDescent="0.25">
      <c r="A62" s="18"/>
      <c r="B62" s="19">
        <v>139</v>
      </c>
      <c r="C62" s="20">
        <v>126</v>
      </c>
      <c r="D62" s="21" t="s">
        <v>280</v>
      </c>
      <c r="E62" s="22" t="s">
        <v>305</v>
      </c>
      <c r="F62" s="22" t="s">
        <v>353</v>
      </c>
      <c r="H62" s="23">
        <v>30</v>
      </c>
      <c r="I62" s="24" t="s">
        <v>395</v>
      </c>
      <c r="J62" s="24">
        <v>0</v>
      </c>
      <c r="K62" s="24" t="s">
        <v>406</v>
      </c>
      <c r="L62" s="24">
        <v>1</v>
      </c>
      <c r="M62" s="24">
        <v>1</v>
      </c>
      <c r="O62" s="25" t="str">
        <f>CONCATENATE(CI_!$R$1,C62,", '",D62,"', '",E62,"' , '",F62,"' , ",G62,",",H62,",'",I62,"',",J62,",'",K62,"',",L62,",",M62)</f>
        <v>EXECUTE [dbo].[PG_CI_USUARIO_PEARL] 139, 126, 'ANAHIG', '12345' , '@PEARLLEATHER.COM.MX' , ,30,'NATILUS.ISL',0,'anahi',1,1</v>
      </c>
      <c r="P62" s="26"/>
    </row>
    <row r="63" spans="1:16" s="16" customFormat="1" x14ac:dyDescent="0.25">
      <c r="A63" s="18"/>
      <c r="B63" s="19">
        <v>139</v>
      </c>
      <c r="C63" s="20">
        <v>129</v>
      </c>
      <c r="D63" s="21" t="s">
        <v>281</v>
      </c>
      <c r="E63" s="22" t="s">
        <v>305</v>
      </c>
      <c r="F63" s="22" t="s">
        <v>386</v>
      </c>
      <c r="G63" s="23">
        <v>4</v>
      </c>
      <c r="H63" s="23">
        <v>30</v>
      </c>
      <c r="I63" s="24" t="s">
        <v>392</v>
      </c>
      <c r="J63" s="24">
        <v>12483</v>
      </c>
      <c r="K63" s="24"/>
      <c r="L63" s="24">
        <v>1</v>
      </c>
      <c r="M63" s="24">
        <v>0</v>
      </c>
      <c r="O63" s="25" t="str">
        <f>CONCATENATE(CI_!$R$1,C63,", '",D63,"', '",E63,"' , '",F63,"' , ",G63,",",H63,",'",I63,"',",J63,",'",K63,"',",L63,",",M63)</f>
        <v>EXECUTE [dbo].[PG_CI_USUARIO_PEARL] 139, 129, 'MARIOS', '12345' , 'MARIOS@PEARLLEATHER.COM.MX' , 4,30,'RED PLANET.ISL',12483,'',1,0</v>
      </c>
      <c r="P63" s="26"/>
    </row>
    <row r="64" spans="1:16" s="16" customFormat="1" x14ac:dyDescent="0.25">
      <c r="A64" s="18"/>
      <c r="B64" s="19">
        <v>139</v>
      </c>
      <c r="C64" s="20">
        <v>131</v>
      </c>
      <c r="D64" s="21" t="s">
        <v>282</v>
      </c>
      <c r="E64" s="22" t="s">
        <v>333</v>
      </c>
      <c r="F64" s="22" t="s">
        <v>353</v>
      </c>
      <c r="G64" s="23">
        <v>3</v>
      </c>
      <c r="H64" s="23">
        <v>30</v>
      </c>
      <c r="I64" s="24" t="s">
        <v>393</v>
      </c>
      <c r="J64" s="24">
        <v>3719</v>
      </c>
      <c r="K64" s="24"/>
      <c r="L64" s="24">
        <v>1</v>
      </c>
      <c r="M64" s="24">
        <v>0</v>
      </c>
      <c r="O64" s="25" t="str">
        <f>CONCATENATE(CI_!$R$1,C64,", '",D64,"', '",E64,"' , '",F64,"' , ",G64,",",H64,",'",I64,"',",J64,",'",K64,"',",L64,",",M64)</f>
        <v>EXECUTE [dbo].[PG_CI_USUARIO_PEARL] 139, 131, 'JESUST', 'Password1' , '@PEARLLEATHER.COM.MX' , 3,30,'FLAT NATURE.ISL',3719,'',1,0</v>
      </c>
      <c r="P64" s="26"/>
    </row>
    <row r="65" spans="1:16" s="16" customFormat="1" x14ac:dyDescent="0.25">
      <c r="A65" s="18"/>
      <c r="B65" s="19">
        <v>139</v>
      </c>
      <c r="C65" s="20">
        <v>132</v>
      </c>
      <c r="D65" s="21" t="s">
        <v>283</v>
      </c>
      <c r="E65" s="22" t="s">
        <v>337</v>
      </c>
      <c r="F65" s="22" t="s">
        <v>353</v>
      </c>
      <c r="G65" s="23">
        <v>4</v>
      </c>
      <c r="H65" s="23">
        <v>30</v>
      </c>
      <c r="I65" s="24" t="s">
        <v>393</v>
      </c>
      <c r="J65" s="24">
        <v>12662</v>
      </c>
      <c r="K65" s="24"/>
      <c r="L65" s="24">
        <v>1</v>
      </c>
      <c r="M65" s="24">
        <v>0</v>
      </c>
      <c r="O65" s="25" t="str">
        <f>CONCATENATE(CI_!$R$1,C65,", '",D65,"', '",E65,"' , '",F65,"' , ",G65,",",H65,",'",I65,"',",J65,",'",K65,"',",L65,",",M65)</f>
        <v>EXECUTE [dbo].[PG_CI_USUARIO_PEARL] 139, 132, 'TERESAJ', '123456' , '@PEARLLEATHER.COM.MX' , 4,30,'FLAT NATURE.ISL',12662,'',1,0</v>
      </c>
      <c r="P65" s="26"/>
    </row>
    <row r="66" spans="1:16" s="16" customFormat="1" x14ac:dyDescent="0.25">
      <c r="A66" s="18"/>
      <c r="B66" s="19">
        <v>139</v>
      </c>
      <c r="C66" s="20">
        <v>134</v>
      </c>
      <c r="D66" s="21" t="s">
        <v>284</v>
      </c>
      <c r="E66" s="22" t="s">
        <v>333</v>
      </c>
      <c r="F66" s="22" t="s">
        <v>353</v>
      </c>
      <c r="G66" s="23">
        <v>4</v>
      </c>
      <c r="H66" s="23">
        <v>30</v>
      </c>
      <c r="I66" s="24" t="s">
        <v>393</v>
      </c>
      <c r="J66" s="24">
        <v>12722</v>
      </c>
      <c r="K66" s="24"/>
      <c r="L66" s="24">
        <v>1</v>
      </c>
      <c r="M66" s="24">
        <v>0</v>
      </c>
      <c r="O66" s="25" t="str">
        <f>CONCATENATE(CI_!$R$1,C66,", '",D66,"', '",E66,"' , '",F66,"' , ",G66,",",H66,",'",I66,"',",J66,",'",K66,"',",L66,",",M66)</f>
        <v>EXECUTE [dbo].[PG_CI_USUARIO_PEARL] 139, 134, 'DANELIJ', 'Password1' , '@PEARLLEATHER.COM.MX' , 4,30,'FLAT NATURE.ISL',12722,'',1,0</v>
      </c>
      <c r="P66" s="26"/>
    </row>
    <row r="67" spans="1:16" s="16" customFormat="1" x14ac:dyDescent="0.25">
      <c r="A67" s="18"/>
      <c r="B67" s="19">
        <v>139</v>
      </c>
      <c r="C67" s="20">
        <v>135</v>
      </c>
      <c r="D67" s="21" t="s">
        <v>285</v>
      </c>
      <c r="E67" s="22" t="s">
        <v>333</v>
      </c>
      <c r="F67" s="22" t="s">
        <v>353</v>
      </c>
      <c r="G67" s="23">
        <v>2</v>
      </c>
      <c r="H67" s="23">
        <v>30</v>
      </c>
      <c r="I67" s="24" t="s">
        <v>400</v>
      </c>
      <c r="J67" s="24">
        <v>11943</v>
      </c>
      <c r="K67" s="24"/>
      <c r="L67" s="24">
        <v>1</v>
      </c>
      <c r="M67" s="24">
        <v>0</v>
      </c>
      <c r="O67" s="25" t="str">
        <f>CONCATENATE(CI_!$R$1,C67,", '",D67,"', '",E67,"' , '",F67,"' , ",G67,",",H67,",'",I67,"',",J67,",'",K67,"',",L67,",",M67)</f>
        <v>EXECUTE [dbo].[PG_CI_USUARIO_PEARL] 139, 135, 'ANAH', 'Password1' , '@PEARLLEATHER.COM.MX' , 2,30,'BLACK.ISL',11943,'',1,0</v>
      </c>
      <c r="P67" s="26"/>
    </row>
    <row r="68" spans="1:16" s="16" customFormat="1" x14ac:dyDescent="0.25">
      <c r="A68" s="18"/>
      <c r="B68" s="19">
        <v>139</v>
      </c>
      <c r="C68" s="20">
        <v>136</v>
      </c>
      <c r="D68" s="21" t="s">
        <v>286</v>
      </c>
      <c r="E68" s="22" t="s">
        <v>338</v>
      </c>
      <c r="F68" s="22" t="s">
        <v>353</v>
      </c>
      <c r="G68" s="23">
        <v>3</v>
      </c>
      <c r="H68" s="23">
        <v>30</v>
      </c>
      <c r="I68" s="24" t="s">
        <v>397</v>
      </c>
      <c r="J68" s="24">
        <v>12844</v>
      </c>
      <c r="K68" s="24"/>
      <c r="L68" s="24">
        <v>1</v>
      </c>
      <c r="M68" s="24">
        <v>0</v>
      </c>
      <c r="O68" s="25" t="str">
        <f>CONCATENATE(CI_!$R$1,C68,", '",D68,"', '",E68,"' , '",F68,"' , ",G68,",",H68,",'",I68,"',",J68,",'",K68,"',",L68,",",M68)</f>
        <v>EXECUTE [dbo].[PG_CI_USUARIO_PEARL] 139, 136, 'CRISTALV', '1394' , '@PEARLLEATHER.COM.MX' , 3,30,'NOIR MODERNE.ISL',12844,'',1,0</v>
      </c>
      <c r="P68" s="26"/>
    </row>
    <row r="69" spans="1:16" s="16" customFormat="1" x14ac:dyDescent="0.25">
      <c r="A69" s="18"/>
      <c r="B69" s="19">
        <v>139</v>
      </c>
      <c r="C69" s="20">
        <v>137</v>
      </c>
      <c r="D69" s="21" t="s">
        <v>287</v>
      </c>
      <c r="E69" s="22" t="s">
        <v>319</v>
      </c>
      <c r="F69" s="22" t="s">
        <v>387</v>
      </c>
      <c r="G69" s="23">
        <v>1</v>
      </c>
      <c r="H69" s="23">
        <v>30</v>
      </c>
      <c r="I69" s="24" t="s">
        <v>393</v>
      </c>
      <c r="J69" s="24">
        <v>6897</v>
      </c>
      <c r="K69" s="24"/>
      <c r="L69" s="24">
        <v>1</v>
      </c>
      <c r="M69" s="24">
        <v>0</v>
      </c>
      <c r="O69" s="25" t="str">
        <f>CONCATENATE(CI_!$R$1,C69,", '",D69,"', '",E69,"' , '",F69,"' , ",G69,",",H69,",'",I69,"',",J69,",'",K69,"',",L69,",",M69)</f>
        <v>EXECUTE [dbo].[PG_CI_USUARIO_PEARL] 139, 137, 'JORGEG', '1234' , 'JORGEG@PEARLLEATHER.COM.MX' , 1,30,'FLAT NATURE.ISL',6897,'',1,0</v>
      </c>
      <c r="P69" s="26"/>
    </row>
    <row r="70" spans="1:16" s="16" customFormat="1" x14ac:dyDescent="0.25">
      <c r="A70" s="18"/>
      <c r="B70" s="19">
        <v>139</v>
      </c>
      <c r="C70" s="20">
        <v>138</v>
      </c>
      <c r="D70" s="21" t="s">
        <v>288</v>
      </c>
      <c r="E70" s="22" t="s">
        <v>339</v>
      </c>
      <c r="F70" s="22" t="s">
        <v>353</v>
      </c>
      <c r="G70" s="23">
        <v>12</v>
      </c>
      <c r="H70" s="23">
        <v>40</v>
      </c>
      <c r="I70" s="24" t="s">
        <v>393</v>
      </c>
      <c r="J70" s="24">
        <v>9762</v>
      </c>
      <c r="K70" s="24"/>
      <c r="L70" s="24">
        <v>1</v>
      </c>
      <c r="M70" s="24">
        <v>0</v>
      </c>
      <c r="O70" s="25" t="str">
        <f>CONCATENATE(CI_!$R$1,C70,", '",D70,"', '",E70,"' , '",F70,"' , ",G70,",",H70,",'",I70,"',",J70,",'",K70,"',",L70,",",M70)</f>
        <v>EXECUTE [dbo].[PG_CI_USUARIO_PEARL] 139, 138, 'RODOLFOC', '247328' , '@PEARLLEATHER.COM.MX' , 12,40,'FLAT NATURE.ISL',9762,'',1,0</v>
      </c>
      <c r="P70" s="26"/>
    </row>
    <row r="71" spans="1:16" s="16" customFormat="1" x14ac:dyDescent="0.25">
      <c r="A71" s="18"/>
      <c r="B71" s="19">
        <v>139</v>
      </c>
      <c r="C71" s="20">
        <v>139</v>
      </c>
      <c r="D71" s="21" t="s">
        <v>289</v>
      </c>
      <c r="E71" s="22" t="s">
        <v>340</v>
      </c>
      <c r="F71" s="22" t="s">
        <v>175</v>
      </c>
      <c r="G71" s="23">
        <v>7</v>
      </c>
      <c r="H71" s="23">
        <v>30</v>
      </c>
      <c r="I71" s="24" t="s">
        <v>400</v>
      </c>
      <c r="J71" s="24">
        <v>13164</v>
      </c>
      <c r="K71" s="24"/>
      <c r="L71" s="24">
        <v>1</v>
      </c>
      <c r="M71" s="24">
        <v>0</v>
      </c>
      <c r="O71" s="25"/>
      <c r="P71" s="26"/>
    </row>
    <row r="72" spans="1:16" s="16" customFormat="1" x14ac:dyDescent="0.25">
      <c r="A72" s="18"/>
      <c r="B72" s="19">
        <v>139</v>
      </c>
      <c r="C72" s="20">
        <v>140</v>
      </c>
      <c r="D72" s="21" t="s">
        <v>290</v>
      </c>
      <c r="E72" s="22" t="s">
        <v>333</v>
      </c>
      <c r="F72" s="22" t="s">
        <v>388</v>
      </c>
      <c r="G72" s="23">
        <v>4</v>
      </c>
      <c r="H72" s="23">
        <v>30</v>
      </c>
      <c r="I72" s="24" t="s">
        <v>392</v>
      </c>
      <c r="J72" s="24">
        <v>8537</v>
      </c>
      <c r="K72" s="24"/>
      <c r="L72" s="24">
        <v>1</v>
      </c>
      <c r="M72" s="24">
        <v>0</v>
      </c>
      <c r="O72" s="25"/>
      <c r="P72" s="26"/>
    </row>
    <row r="73" spans="1:16" s="16" customFormat="1" x14ac:dyDescent="0.25">
      <c r="A73" s="18"/>
      <c r="B73" s="19">
        <v>139</v>
      </c>
      <c r="C73" s="20">
        <v>141</v>
      </c>
      <c r="D73" s="21" t="s">
        <v>291</v>
      </c>
      <c r="E73" s="22" t="s">
        <v>333</v>
      </c>
      <c r="F73" s="22" t="s">
        <v>353</v>
      </c>
      <c r="G73" s="23">
        <v>4</v>
      </c>
      <c r="H73" s="23">
        <v>30</v>
      </c>
      <c r="I73" s="24" t="s">
        <v>393</v>
      </c>
      <c r="J73" s="24">
        <v>12602</v>
      </c>
      <c r="K73" s="24"/>
      <c r="L73" s="24">
        <v>1</v>
      </c>
      <c r="M73" s="24">
        <v>0</v>
      </c>
      <c r="O73" s="25"/>
      <c r="P73" s="26"/>
    </row>
    <row r="74" spans="1:16" s="16" customFormat="1" x14ac:dyDescent="0.25">
      <c r="A74" s="18"/>
      <c r="B74" s="19">
        <v>139</v>
      </c>
      <c r="C74" s="20">
        <v>142</v>
      </c>
      <c r="D74" s="21" t="s">
        <v>292</v>
      </c>
      <c r="E74" s="22" t="s">
        <v>333</v>
      </c>
      <c r="F74" s="22" t="s">
        <v>389</v>
      </c>
      <c r="G74" s="23">
        <v>4</v>
      </c>
      <c r="H74" s="23">
        <v>30</v>
      </c>
      <c r="I74" s="24" t="s">
        <v>393</v>
      </c>
      <c r="J74" s="24">
        <v>13270</v>
      </c>
      <c r="K74" s="24"/>
      <c r="L74" s="24">
        <v>1</v>
      </c>
      <c r="M74" s="24">
        <v>0</v>
      </c>
      <c r="O74" s="25"/>
      <c r="P74" s="26"/>
    </row>
    <row r="75" spans="1:16" s="16" customFormat="1" x14ac:dyDescent="0.25">
      <c r="A75" s="18"/>
      <c r="B75" s="19">
        <v>139</v>
      </c>
      <c r="C75" s="20">
        <v>143</v>
      </c>
      <c r="D75" s="21" t="s">
        <v>293</v>
      </c>
      <c r="E75" s="22" t="s">
        <v>341</v>
      </c>
      <c r="F75" s="22" t="s">
        <v>353</v>
      </c>
      <c r="H75" s="23">
        <v>30</v>
      </c>
      <c r="I75" s="24" t="s">
        <v>397</v>
      </c>
      <c r="J75" s="24">
        <v>0</v>
      </c>
      <c r="K75" s="24" t="s">
        <v>407</v>
      </c>
      <c r="L75" s="24">
        <v>1</v>
      </c>
      <c r="M75" s="24">
        <v>1</v>
      </c>
      <c r="O75" s="25"/>
      <c r="P75" s="26"/>
    </row>
    <row r="76" spans="1:16" s="16" customFormat="1" x14ac:dyDescent="0.25">
      <c r="A76" s="18"/>
      <c r="B76" s="19">
        <v>139</v>
      </c>
      <c r="C76" s="20">
        <v>144</v>
      </c>
      <c r="D76" s="21" t="s">
        <v>294</v>
      </c>
      <c r="E76" s="22" t="s">
        <v>333</v>
      </c>
      <c r="F76" s="22" t="s">
        <v>183</v>
      </c>
      <c r="G76" s="23">
        <v>7</v>
      </c>
      <c r="H76" s="23">
        <v>30</v>
      </c>
      <c r="I76" s="24" t="s">
        <v>393</v>
      </c>
      <c r="J76" s="24">
        <v>13367</v>
      </c>
      <c r="K76" s="24"/>
      <c r="L76" s="24">
        <v>1</v>
      </c>
      <c r="M76" s="24">
        <v>0</v>
      </c>
      <c r="O76" s="25"/>
      <c r="P76" s="26"/>
    </row>
    <row r="77" spans="1:16" s="16" customFormat="1" x14ac:dyDescent="0.25">
      <c r="A77" s="18"/>
      <c r="B77" s="19">
        <v>139</v>
      </c>
      <c r="C77" s="20">
        <v>145</v>
      </c>
      <c r="D77" s="21" t="s">
        <v>295</v>
      </c>
      <c r="E77" s="22" t="s">
        <v>333</v>
      </c>
      <c r="F77" s="22" t="s">
        <v>390</v>
      </c>
      <c r="G77" s="23">
        <v>2</v>
      </c>
      <c r="H77" s="23">
        <v>30</v>
      </c>
      <c r="I77" s="24" t="s">
        <v>393</v>
      </c>
      <c r="J77" s="24">
        <v>12834</v>
      </c>
      <c r="K77" s="24"/>
      <c r="L77" s="24">
        <v>1</v>
      </c>
      <c r="M77" s="24">
        <v>0</v>
      </c>
      <c r="O77" s="25"/>
      <c r="P77" s="26"/>
    </row>
    <row r="78" spans="1:16" s="16" customFormat="1" x14ac:dyDescent="0.25">
      <c r="A78" s="18"/>
      <c r="B78" s="19">
        <v>139</v>
      </c>
      <c r="C78" s="20">
        <v>146</v>
      </c>
      <c r="D78" s="21" t="s">
        <v>296</v>
      </c>
      <c r="E78" s="22" t="s">
        <v>333</v>
      </c>
      <c r="F78" s="22" t="s">
        <v>391</v>
      </c>
      <c r="G78" s="23">
        <v>2</v>
      </c>
      <c r="H78" s="23">
        <v>30</v>
      </c>
      <c r="I78" s="24" t="s">
        <v>393</v>
      </c>
      <c r="J78" s="24">
        <v>13107</v>
      </c>
      <c r="K78" s="24"/>
      <c r="L78" s="24">
        <v>1</v>
      </c>
      <c r="M78" s="24">
        <v>0</v>
      </c>
      <c r="O78" s="25"/>
      <c r="P78" s="26"/>
    </row>
    <row r="79" spans="1:16" s="16" customFormat="1" x14ac:dyDescent="0.25">
      <c r="A79" s="18"/>
      <c r="B79" s="19"/>
      <c r="C79" s="20"/>
      <c r="D79" s="21"/>
      <c r="E79" s="22"/>
      <c r="F79" s="22"/>
      <c r="G79" s="23"/>
      <c r="H79" s="23"/>
      <c r="I79" s="24"/>
      <c r="J79" s="24"/>
      <c r="K79" s="24"/>
      <c r="L79" s="23"/>
      <c r="M79" s="23"/>
      <c r="O79" s="25"/>
      <c r="P79" s="26"/>
    </row>
    <row r="80" spans="1:16" s="16" customFormat="1" x14ac:dyDescent="0.25">
      <c r="A80" s="18"/>
      <c r="B80" s="19"/>
      <c r="C80" s="20"/>
      <c r="D80" s="21"/>
      <c r="E80" s="22"/>
      <c r="F80" s="22"/>
      <c r="G80" s="23"/>
      <c r="H80" s="23"/>
      <c r="I80" s="24"/>
      <c r="J80" s="24"/>
      <c r="K80" s="24"/>
      <c r="L80" s="23"/>
      <c r="M80" s="23"/>
      <c r="O80" s="25"/>
      <c r="P80" s="26"/>
    </row>
    <row r="81" spans="1:16" s="16" customFormat="1" x14ac:dyDescent="0.25">
      <c r="A81" s="18"/>
      <c r="B81" s="19"/>
      <c r="C81" s="20"/>
      <c r="D81" s="21"/>
      <c r="E81" s="22"/>
      <c r="F81" s="22"/>
      <c r="G81" s="23"/>
      <c r="H81" s="23"/>
      <c r="I81" s="24"/>
      <c r="J81" s="24"/>
      <c r="K81" s="24"/>
      <c r="L81" s="23"/>
      <c r="M81" s="23"/>
      <c r="O81" s="25"/>
      <c r="P81" s="26"/>
    </row>
    <row r="82" spans="1:16" s="16" customFormat="1" x14ac:dyDescent="0.25">
      <c r="A82" s="18"/>
      <c r="B82" s="19"/>
      <c r="C82" s="20"/>
      <c r="D82" s="21"/>
      <c r="E82" s="22"/>
      <c r="F82" s="22"/>
      <c r="G82" s="23"/>
      <c r="H82" s="23"/>
      <c r="I82" s="24"/>
      <c r="J82" s="24"/>
      <c r="K82" s="24"/>
      <c r="L82" s="23"/>
      <c r="M82" s="23"/>
      <c r="O82" s="25"/>
      <c r="P82" s="26"/>
    </row>
    <row r="83" spans="1:16" s="16" customFormat="1" x14ac:dyDescent="0.25">
      <c r="A83" s="18"/>
      <c r="B83" s="19"/>
      <c r="C83" s="20"/>
      <c r="D83" s="21"/>
      <c r="E83" s="22"/>
      <c r="F83" s="22"/>
      <c r="G83" s="23"/>
      <c r="H83" s="23"/>
      <c r="I83" s="24"/>
      <c r="J83" s="24"/>
      <c r="K83" s="24"/>
      <c r="L83" s="23"/>
      <c r="M83" s="23"/>
      <c r="O83" s="25"/>
      <c r="P83" s="26"/>
    </row>
    <row r="84" spans="1:16" s="16" customFormat="1" x14ac:dyDescent="0.25">
      <c r="A84" s="18"/>
      <c r="B84" s="19"/>
      <c r="C84" s="20"/>
      <c r="D84" s="21"/>
      <c r="E84" s="22"/>
      <c r="F84" s="22"/>
      <c r="G84" s="23"/>
      <c r="H84" s="23"/>
      <c r="I84" s="24"/>
      <c r="J84" s="24"/>
      <c r="K84" s="24"/>
      <c r="L84" s="23"/>
      <c r="M84" s="23"/>
      <c r="O84" s="25"/>
      <c r="P84" s="26"/>
    </row>
    <row r="85" spans="1:16" s="16" customFormat="1" x14ac:dyDescent="0.25">
      <c r="A85" s="18"/>
      <c r="B85" s="19"/>
      <c r="C85" s="20"/>
      <c r="D85" s="21"/>
      <c r="E85" s="22"/>
      <c r="F85" s="22"/>
      <c r="G85" s="23"/>
      <c r="H85" s="23"/>
      <c r="I85" s="24"/>
      <c r="J85" s="24"/>
      <c r="K85" s="24"/>
      <c r="L85" s="23"/>
      <c r="M85" s="23"/>
      <c r="O85" s="25"/>
      <c r="P85" s="26"/>
    </row>
    <row r="86" spans="1:16" s="16" customFormat="1" x14ac:dyDescent="0.25">
      <c r="A86" s="18"/>
      <c r="B86" s="19"/>
      <c r="C86" s="20"/>
      <c r="D86" s="21"/>
      <c r="E86" s="22"/>
      <c r="F86" s="22"/>
      <c r="G86" s="23"/>
      <c r="H86" s="23"/>
      <c r="I86" s="24"/>
      <c r="J86" s="24"/>
      <c r="K86" s="24"/>
      <c r="L86" s="23"/>
      <c r="M86" s="23"/>
      <c r="O86" s="25"/>
      <c r="P86" s="26"/>
    </row>
    <row r="87" spans="1:16" s="16" customFormat="1" x14ac:dyDescent="0.25">
      <c r="A87" s="18"/>
      <c r="B87" s="19"/>
      <c r="C87" s="20"/>
      <c r="D87" s="21"/>
      <c r="E87" s="22"/>
      <c r="F87" s="22"/>
      <c r="G87" s="23"/>
      <c r="H87" s="23"/>
      <c r="I87" s="24"/>
      <c r="J87" s="24"/>
      <c r="K87" s="24"/>
      <c r="L87" s="23"/>
      <c r="M87" s="23"/>
      <c r="O87" s="25"/>
      <c r="P87" s="26"/>
    </row>
    <row r="88" spans="1:16" s="16" customFormat="1" x14ac:dyDescent="0.25">
      <c r="A88" s="18"/>
      <c r="B88" s="19"/>
      <c r="C88" s="20"/>
      <c r="D88" s="21"/>
      <c r="E88" s="22"/>
      <c r="F88" s="22"/>
      <c r="G88" s="23"/>
      <c r="H88" s="23"/>
      <c r="I88" s="24"/>
      <c r="J88" s="24"/>
      <c r="K88" s="24"/>
      <c r="L88" s="23"/>
      <c r="M88" s="23"/>
      <c r="O88" s="25"/>
      <c r="P88" s="26"/>
    </row>
    <row r="89" spans="1:16" s="16" customFormat="1" x14ac:dyDescent="0.25">
      <c r="A89" s="18"/>
      <c r="B89" s="19"/>
      <c r="C89" s="20"/>
      <c r="D89" s="21"/>
      <c r="E89" s="22"/>
      <c r="F89" s="22"/>
      <c r="G89" s="23"/>
      <c r="H89" s="23"/>
      <c r="I89" s="24"/>
      <c r="J89" s="24"/>
      <c r="K89" s="24"/>
      <c r="L89" s="23"/>
      <c r="M89" s="23"/>
      <c r="O89" s="25"/>
      <c r="P89" s="26"/>
    </row>
    <row r="90" spans="1:16" s="16" customFormat="1" x14ac:dyDescent="0.25">
      <c r="A90" s="18"/>
      <c r="B90" s="19"/>
      <c r="C90" s="20"/>
      <c r="D90" s="21"/>
      <c r="E90" s="22"/>
      <c r="F90" s="22"/>
      <c r="G90" s="23"/>
      <c r="H90" s="23"/>
      <c r="I90" s="24"/>
      <c r="J90" s="24"/>
      <c r="K90" s="24"/>
      <c r="L90" s="23"/>
      <c r="M90" s="23"/>
      <c r="O90" s="25"/>
      <c r="P90" s="26"/>
    </row>
    <row r="91" spans="1:16" s="16" customFormat="1" x14ac:dyDescent="0.25">
      <c r="A91" s="18"/>
      <c r="B91" s="19"/>
      <c r="C91" s="20"/>
      <c r="D91" s="21"/>
      <c r="E91" s="22"/>
      <c r="F91" s="22"/>
      <c r="G91" s="23"/>
      <c r="H91" s="23"/>
      <c r="I91" s="24"/>
      <c r="J91" s="24"/>
      <c r="K91" s="24"/>
      <c r="L91" s="23"/>
      <c r="M91" s="23"/>
      <c r="O91" s="25"/>
      <c r="P91" s="26"/>
    </row>
    <row r="92" spans="1:16" s="16" customFormat="1" x14ac:dyDescent="0.25">
      <c r="A92" s="18"/>
      <c r="B92" s="19"/>
      <c r="C92" s="20"/>
      <c r="D92" s="21"/>
      <c r="E92" s="22"/>
      <c r="F92" s="22"/>
      <c r="G92" s="23"/>
      <c r="H92" s="23"/>
      <c r="I92" s="24"/>
      <c r="J92" s="24"/>
      <c r="K92" s="24"/>
      <c r="L92" s="23"/>
      <c r="M92" s="23"/>
      <c r="O92" s="25"/>
      <c r="P92" s="26"/>
    </row>
    <row r="93" spans="1:16" s="16" customFormat="1" x14ac:dyDescent="0.25">
      <c r="A93" s="18"/>
      <c r="B93" s="19"/>
      <c r="C93" s="20"/>
      <c r="D93" s="21"/>
      <c r="E93" s="22"/>
      <c r="F93" s="22"/>
      <c r="G93" s="23"/>
      <c r="H93" s="23"/>
      <c r="I93" s="24"/>
      <c r="J93" s="24"/>
      <c r="K93" s="24"/>
      <c r="L93" s="23"/>
      <c r="M93" s="23"/>
      <c r="O93" s="25"/>
      <c r="P93" s="26"/>
    </row>
    <row r="94" spans="1:16" s="16" customFormat="1" x14ac:dyDescent="0.25">
      <c r="A94" s="18"/>
      <c r="B94" s="19"/>
      <c r="C94" s="20"/>
      <c r="D94" s="21"/>
      <c r="E94" s="22"/>
      <c r="F94" s="22"/>
      <c r="G94" s="23"/>
      <c r="H94" s="23"/>
      <c r="I94" s="24"/>
      <c r="J94" s="24"/>
      <c r="K94" s="24"/>
      <c r="L94" s="23"/>
      <c r="M94" s="23"/>
      <c r="O94" s="25"/>
      <c r="P94" s="26"/>
    </row>
    <row r="95" spans="1:16" s="16" customFormat="1" x14ac:dyDescent="0.25">
      <c r="A95" s="18"/>
      <c r="B95" s="19"/>
      <c r="C95" s="20"/>
      <c r="D95" s="21"/>
      <c r="E95" s="22"/>
      <c r="F95" s="22"/>
      <c r="G95" s="23"/>
      <c r="H95" s="23"/>
      <c r="I95" s="24"/>
      <c r="J95" s="24"/>
      <c r="K95" s="24"/>
      <c r="L95" s="23"/>
      <c r="M95" s="23"/>
      <c r="O95" s="25"/>
      <c r="P95" s="26"/>
    </row>
    <row r="96" spans="1:16" s="16" customFormat="1" x14ac:dyDescent="0.25">
      <c r="A96" s="18"/>
      <c r="B96" s="19"/>
      <c r="C96" s="20"/>
      <c r="D96" s="21"/>
      <c r="E96" s="22"/>
      <c r="F96" s="22"/>
      <c r="G96" s="23"/>
      <c r="H96" s="23"/>
      <c r="I96" s="24"/>
      <c r="J96" s="24"/>
      <c r="K96" s="24"/>
      <c r="L96" s="23"/>
      <c r="M96" s="23"/>
      <c r="O96" s="25"/>
      <c r="P96" s="26"/>
    </row>
    <row r="97" spans="1:16" s="16" customFormat="1" x14ac:dyDescent="0.25">
      <c r="A97" s="18"/>
      <c r="B97" s="19"/>
      <c r="C97" s="20"/>
      <c r="D97" s="21"/>
      <c r="E97" s="22"/>
      <c r="F97" s="22"/>
      <c r="G97" s="23"/>
      <c r="H97" s="23"/>
      <c r="I97" s="24"/>
      <c r="J97" s="24"/>
      <c r="K97" s="24"/>
      <c r="L97" s="23"/>
      <c r="M97" s="23"/>
      <c r="O97" s="25"/>
      <c r="P97" s="26"/>
    </row>
    <row r="98" spans="1:16" s="16" customFormat="1" x14ac:dyDescent="0.25">
      <c r="A98" s="18"/>
      <c r="B98" s="19"/>
      <c r="C98" s="20"/>
      <c r="D98" s="21"/>
      <c r="E98" s="22"/>
      <c r="F98" s="22"/>
      <c r="G98" s="23"/>
      <c r="H98" s="23"/>
      <c r="I98" s="24"/>
      <c r="J98" s="24"/>
      <c r="K98" s="24"/>
      <c r="L98" s="23"/>
      <c r="M98" s="23"/>
      <c r="O98" s="25"/>
      <c r="P98" s="26"/>
    </row>
    <row r="99" spans="1:16" s="16" customFormat="1" x14ac:dyDescent="0.25">
      <c r="A99" s="18"/>
      <c r="B99" s="19"/>
      <c r="C99" s="20"/>
      <c r="D99" s="21"/>
      <c r="E99" s="22"/>
      <c r="F99" s="22"/>
      <c r="G99" s="23"/>
      <c r="H99" s="23"/>
      <c r="I99" s="24"/>
      <c r="J99" s="24"/>
      <c r="K99" s="24"/>
      <c r="L99" s="23"/>
      <c r="M99" s="23"/>
      <c r="O99" s="25"/>
      <c r="P99" s="26"/>
    </row>
    <row r="100" spans="1:16" s="16" customFormat="1" x14ac:dyDescent="0.25">
      <c r="A100" s="18"/>
      <c r="B100" s="19"/>
      <c r="C100" s="20"/>
      <c r="D100" s="21"/>
      <c r="E100" s="22"/>
      <c r="F100" s="22"/>
      <c r="G100" s="23"/>
      <c r="H100" s="23"/>
      <c r="I100" s="24"/>
      <c r="J100" s="24"/>
      <c r="K100" s="24"/>
      <c r="L100" s="23"/>
      <c r="M100" s="23"/>
      <c r="O100" s="25"/>
      <c r="P100" s="26"/>
    </row>
    <row r="101" spans="1:16" s="16" customFormat="1" x14ac:dyDescent="0.25">
      <c r="A101" s="18"/>
      <c r="B101" s="19"/>
      <c r="C101" s="20"/>
      <c r="D101" s="21"/>
      <c r="E101" s="22"/>
      <c r="F101" s="22"/>
      <c r="G101" s="23"/>
      <c r="H101" s="23"/>
      <c r="I101" s="24"/>
      <c r="J101" s="24"/>
      <c r="K101" s="24"/>
      <c r="L101" s="23"/>
      <c r="M101" s="23"/>
      <c r="O101" s="25"/>
      <c r="P101" s="26"/>
    </row>
    <row r="102" spans="1:16" s="16" customFormat="1" x14ac:dyDescent="0.25">
      <c r="A102" s="18"/>
      <c r="B102" s="19"/>
      <c r="C102" s="20"/>
      <c r="D102" s="21"/>
      <c r="E102" s="22"/>
      <c r="F102" s="22"/>
      <c r="G102" s="23"/>
      <c r="H102" s="23"/>
      <c r="I102" s="24"/>
      <c r="J102" s="24"/>
      <c r="K102" s="24"/>
      <c r="L102" s="23"/>
      <c r="M102" s="23"/>
      <c r="O102" s="25"/>
      <c r="P102" s="26"/>
    </row>
    <row r="103" spans="1:16" s="16" customFormat="1" x14ac:dyDescent="0.25">
      <c r="A103" s="18"/>
      <c r="B103" s="19"/>
      <c r="C103" s="20"/>
      <c r="D103" s="21"/>
      <c r="E103" s="22"/>
      <c r="F103" s="22"/>
      <c r="G103" s="23"/>
      <c r="H103" s="23"/>
      <c r="I103" s="24"/>
      <c r="J103" s="24"/>
      <c r="K103" s="24"/>
      <c r="L103" s="23"/>
      <c r="M103" s="23"/>
      <c r="O103" s="25"/>
      <c r="P103" s="26"/>
    </row>
    <row r="104" spans="1:16" s="16" customFormat="1" x14ac:dyDescent="0.25">
      <c r="A104" s="18"/>
      <c r="B104" s="19"/>
      <c r="C104" s="20"/>
      <c r="D104" s="21"/>
      <c r="E104" s="22"/>
      <c r="F104" s="22"/>
      <c r="G104" s="23"/>
      <c r="H104" s="23"/>
      <c r="I104" s="24"/>
      <c r="J104" s="24"/>
      <c r="K104" s="24"/>
      <c r="L104" s="23"/>
      <c r="M104" s="23"/>
      <c r="O104" s="25"/>
      <c r="P104" s="26"/>
    </row>
    <row r="105" spans="1:16" s="16" customFormat="1" x14ac:dyDescent="0.25">
      <c r="A105" s="18"/>
      <c r="B105" s="19"/>
      <c r="C105" s="20"/>
      <c r="D105" s="21"/>
      <c r="E105" s="22"/>
      <c r="F105" s="22"/>
      <c r="G105" s="23"/>
      <c r="H105" s="23"/>
      <c r="I105" s="24"/>
      <c r="J105" s="24"/>
      <c r="K105" s="24"/>
      <c r="L105" s="23"/>
      <c r="M105" s="23"/>
      <c r="O105" s="25"/>
      <c r="P105" s="26"/>
    </row>
    <row r="106" spans="1:16" s="16" customFormat="1" x14ac:dyDescent="0.25">
      <c r="A106" s="18"/>
      <c r="B106" s="19"/>
      <c r="C106" s="20"/>
      <c r="D106" s="21"/>
      <c r="E106" s="22"/>
      <c r="F106" s="22"/>
      <c r="G106" s="23"/>
      <c r="H106" s="23"/>
      <c r="I106" s="24"/>
      <c r="J106" s="24"/>
      <c r="K106" s="24"/>
      <c r="L106" s="23"/>
      <c r="M106" s="23"/>
      <c r="O106" s="25"/>
      <c r="P106" s="26"/>
    </row>
    <row r="107" spans="1:16" s="16" customFormat="1" x14ac:dyDescent="0.25">
      <c r="A107" s="18"/>
      <c r="B107" s="19"/>
      <c r="C107" s="20"/>
      <c r="D107" s="21"/>
      <c r="E107" s="22"/>
      <c r="F107" s="22"/>
      <c r="G107" s="23"/>
      <c r="H107" s="23"/>
      <c r="I107" s="24"/>
      <c r="J107" s="24"/>
      <c r="K107" s="24"/>
      <c r="L107" s="23"/>
      <c r="M107" s="23"/>
      <c r="O107" s="25"/>
      <c r="P107" s="26"/>
    </row>
    <row r="108" spans="1:16" s="16" customFormat="1" x14ac:dyDescent="0.25">
      <c r="A108" s="18"/>
      <c r="B108" s="19"/>
      <c r="C108" s="20"/>
      <c r="D108" s="21"/>
      <c r="E108" s="22"/>
      <c r="F108" s="22"/>
      <c r="G108" s="23"/>
      <c r="H108" s="23"/>
      <c r="I108" s="24"/>
      <c r="J108" s="24"/>
      <c r="K108" s="24"/>
      <c r="L108" s="23"/>
      <c r="M108" s="23"/>
      <c r="O108" s="25"/>
      <c r="P108" s="26"/>
    </row>
    <row r="109" spans="1:16" s="16" customFormat="1" x14ac:dyDescent="0.25">
      <c r="A109" s="18"/>
      <c r="B109" s="19"/>
      <c r="C109" s="20"/>
      <c r="D109" s="21"/>
      <c r="E109" s="22"/>
      <c r="F109" s="22"/>
      <c r="G109" s="23"/>
      <c r="H109" s="23"/>
      <c r="I109" s="24"/>
      <c r="J109" s="24"/>
      <c r="K109" s="24"/>
      <c r="L109" s="23"/>
      <c r="M109" s="23"/>
      <c r="O109" s="25"/>
      <c r="P109" s="26"/>
    </row>
    <row r="110" spans="1:16" s="16" customFormat="1" x14ac:dyDescent="0.25">
      <c r="A110" s="18"/>
      <c r="B110" s="19"/>
      <c r="C110" s="20"/>
      <c r="D110" s="21"/>
      <c r="E110" s="22"/>
      <c r="F110" s="22"/>
      <c r="G110" s="23"/>
      <c r="H110" s="23"/>
      <c r="I110" s="24"/>
      <c r="J110" s="24"/>
      <c r="K110" s="24"/>
      <c r="L110" s="23"/>
      <c r="M110" s="23"/>
      <c r="O110" s="25"/>
      <c r="P110" s="26"/>
    </row>
    <row r="111" spans="1:16" s="16" customFormat="1" x14ac:dyDescent="0.25">
      <c r="A111" s="18"/>
      <c r="B111" s="19"/>
      <c r="C111" s="20"/>
      <c r="D111" s="21"/>
      <c r="E111" s="22"/>
      <c r="F111" s="22"/>
      <c r="G111" s="23"/>
      <c r="H111" s="23"/>
      <c r="I111" s="24"/>
      <c r="J111" s="24"/>
      <c r="K111" s="24"/>
      <c r="L111" s="23"/>
      <c r="M111" s="23"/>
      <c r="O111" s="25"/>
      <c r="P111" s="26"/>
    </row>
    <row r="112" spans="1:16" s="16" customFormat="1" x14ac:dyDescent="0.25">
      <c r="A112" s="18"/>
      <c r="B112" s="19"/>
      <c r="C112" s="20"/>
      <c r="D112" s="21"/>
      <c r="E112" s="22"/>
      <c r="F112" s="22"/>
      <c r="G112" s="23"/>
      <c r="H112" s="23"/>
      <c r="I112" s="24"/>
      <c r="J112" s="24"/>
      <c r="K112" s="24"/>
      <c r="L112" s="23"/>
      <c r="M112" s="23"/>
      <c r="O112" s="25"/>
      <c r="P112" s="26"/>
    </row>
    <row r="113" spans="1:16" s="16" customFormat="1" x14ac:dyDescent="0.25">
      <c r="A113" s="18"/>
      <c r="B113" s="19"/>
      <c r="C113" s="20"/>
      <c r="D113" s="21"/>
      <c r="E113" s="22"/>
      <c r="F113" s="22"/>
      <c r="G113" s="23"/>
      <c r="H113" s="23"/>
      <c r="I113" s="24"/>
      <c r="J113" s="24"/>
      <c r="K113" s="24"/>
      <c r="L113" s="23"/>
      <c r="M113" s="23"/>
      <c r="O113" s="25"/>
      <c r="P113" s="26"/>
    </row>
    <row r="114" spans="1:16" s="16" customFormat="1" x14ac:dyDescent="0.25">
      <c r="A114" s="18"/>
      <c r="B114" s="19"/>
      <c r="C114" s="20"/>
      <c r="D114" s="21"/>
      <c r="E114" s="22"/>
      <c r="F114" s="22"/>
      <c r="G114" s="23"/>
      <c r="H114" s="23"/>
      <c r="I114" s="24"/>
      <c r="J114" s="24"/>
      <c r="K114" s="24"/>
      <c r="L114" s="23"/>
      <c r="M114" s="23"/>
      <c r="O114" s="25"/>
      <c r="P114" s="26"/>
    </row>
    <row r="115" spans="1:16" s="16" customFormat="1" x14ac:dyDescent="0.25">
      <c r="A115" s="18"/>
      <c r="B115" s="19"/>
      <c r="C115" s="20"/>
      <c r="D115" s="21"/>
      <c r="E115" s="22"/>
      <c r="F115" s="22"/>
      <c r="G115" s="23"/>
      <c r="H115" s="23"/>
      <c r="I115" s="24"/>
      <c r="J115" s="24"/>
      <c r="K115" s="24"/>
      <c r="L115" s="23"/>
      <c r="M115" s="23"/>
      <c r="O115" s="25"/>
      <c r="P115" s="26"/>
    </row>
    <row r="116" spans="1:16" s="16" customFormat="1" x14ac:dyDescent="0.25">
      <c r="A116" s="18"/>
      <c r="B116" s="19"/>
      <c r="C116" s="20"/>
      <c r="D116" s="21"/>
      <c r="E116" s="22"/>
      <c r="F116" s="22"/>
      <c r="G116" s="23"/>
      <c r="H116" s="23"/>
      <c r="I116" s="24"/>
      <c r="J116" s="24"/>
      <c r="K116" s="24"/>
      <c r="L116" s="23"/>
      <c r="M116" s="23"/>
      <c r="O116" s="25"/>
      <c r="P116" s="26"/>
    </row>
    <row r="117" spans="1:16" s="16" customFormat="1" x14ac:dyDescent="0.25">
      <c r="A117" s="18"/>
      <c r="B117" s="19"/>
      <c r="C117" s="20"/>
      <c r="D117" s="21"/>
      <c r="E117" s="22"/>
      <c r="F117" s="22"/>
      <c r="G117" s="23"/>
      <c r="H117" s="23"/>
      <c r="I117" s="24"/>
      <c r="J117" s="24"/>
      <c r="K117" s="24"/>
      <c r="L117" s="23"/>
      <c r="M117" s="23"/>
      <c r="O117" s="25"/>
      <c r="P117" s="26"/>
    </row>
    <row r="118" spans="1:16" s="16" customFormat="1" x14ac:dyDescent="0.25">
      <c r="A118" s="18"/>
      <c r="B118" s="19"/>
      <c r="C118" s="20"/>
      <c r="D118" s="21"/>
      <c r="E118" s="22"/>
      <c r="F118" s="22"/>
      <c r="G118" s="23"/>
      <c r="H118" s="23"/>
      <c r="I118" s="24"/>
      <c r="J118" s="24"/>
      <c r="K118" s="24"/>
      <c r="L118" s="23"/>
      <c r="M118" s="23"/>
      <c r="O118" s="25"/>
      <c r="P118" s="26"/>
    </row>
    <row r="119" spans="1:16" s="16" customFormat="1" x14ac:dyDescent="0.25">
      <c r="A119" s="18"/>
      <c r="B119" s="19"/>
      <c r="C119" s="20"/>
      <c r="D119" s="21"/>
      <c r="E119" s="22"/>
      <c r="F119" s="22"/>
      <c r="G119" s="23"/>
      <c r="H119" s="23"/>
      <c r="I119" s="24"/>
      <c r="J119" s="24"/>
      <c r="K119" s="24"/>
      <c r="L119" s="23"/>
      <c r="M119" s="23"/>
      <c r="O119" s="25"/>
      <c r="P119" s="26"/>
    </row>
    <row r="120" spans="1:16" s="16" customFormat="1" x14ac:dyDescent="0.25">
      <c r="A120" s="18"/>
      <c r="B120" s="19"/>
      <c r="C120" s="20"/>
      <c r="D120" s="21"/>
      <c r="E120" s="22"/>
      <c r="F120" s="22"/>
      <c r="G120" s="23"/>
      <c r="H120" s="23"/>
      <c r="I120" s="24"/>
      <c r="J120" s="24"/>
      <c r="K120" s="24"/>
      <c r="L120" s="23"/>
      <c r="M120" s="23"/>
      <c r="O120" s="25"/>
      <c r="P120" s="26"/>
    </row>
    <row r="121" spans="1:16" s="16" customFormat="1" x14ac:dyDescent="0.25">
      <c r="A121" s="18"/>
      <c r="B121" s="19"/>
      <c r="C121" s="20"/>
      <c r="D121" s="21"/>
      <c r="E121" s="22"/>
      <c r="F121" s="22"/>
      <c r="G121" s="23"/>
      <c r="H121" s="23"/>
      <c r="I121" s="24"/>
      <c r="J121" s="24"/>
      <c r="K121" s="24"/>
      <c r="L121" s="23"/>
      <c r="M121" s="23"/>
      <c r="O121" s="25"/>
      <c r="P121" s="26"/>
    </row>
    <row r="122" spans="1:16" s="16" customFormat="1" x14ac:dyDescent="0.25">
      <c r="A122" s="18"/>
      <c r="B122" s="19"/>
      <c r="C122" s="20"/>
      <c r="D122" s="21"/>
      <c r="E122" s="22"/>
      <c r="F122" s="22"/>
      <c r="G122" s="23"/>
      <c r="H122" s="23"/>
      <c r="I122" s="24"/>
      <c r="J122" s="24"/>
      <c r="K122" s="24"/>
      <c r="L122" s="23"/>
      <c r="M122" s="23"/>
      <c r="O122" s="25"/>
      <c r="P122" s="26"/>
    </row>
    <row r="123" spans="1:16" s="16" customFormat="1" x14ac:dyDescent="0.25">
      <c r="A123" s="18"/>
      <c r="B123" s="19"/>
      <c r="C123" s="20"/>
      <c r="D123" s="21"/>
      <c r="E123" s="22"/>
      <c r="F123" s="22"/>
      <c r="G123" s="23"/>
      <c r="H123" s="23"/>
      <c r="I123" s="24"/>
      <c r="J123" s="24"/>
      <c r="K123" s="24"/>
      <c r="L123" s="23"/>
      <c r="M123" s="23"/>
      <c r="O123" s="25"/>
      <c r="P123" s="26"/>
    </row>
    <row r="124" spans="1:16" s="16" customFormat="1" x14ac:dyDescent="0.25">
      <c r="A124" s="18"/>
      <c r="B124" s="19"/>
      <c r="C124" s="20"/>
      <c r="D124" s="21"/>
      <c r="E124" s="22"/>
      <c r="F124" s="22"/>
      <c r="G124" s="23"/>
      <c r="H124" s="23"/>
      <c r="I124" s="24"/>
      <c r="J124" s="24"/>
      <c r="K124" s="24"/>
      <c r="L124" s="23"/>
      <c r="M124" s="23"/>
      <c r="O124" s="25"/>
      <c r="P124" s="26"/>
    </row>
    <row r="125" spans="1:16" s="16" customFormat="1" x14ac:dyDescent="0.25">
      <c r="A125" s="18"/>
      <c r="B125" s="19"/>
      <c r="C125" s="20"/>
      <c r="D125" s="21"/>
      <c r="E125" s="22"/>
      <c r="F125" s="22"/>
      <c r="G125" s="23"/>
      <c r="H125" s="23"/>
      <c r="I125" s="24"/>
      <c r="J125" s="24"/>
      <c r="K125" s="24"/>
      <c r="L125" s="23"/>
      <c r="M125" s="23"/>
      <c r="O125" s="25"/>
      <c r="P125" s="26"/>
    </row>
    <row r="126" spans="1:16" s="16" customFormat="1" x14ac:dyDescent="0.25">
      <c r="A126" s="18"/>
      <c r="B126" s="19"/>
      <c r="C126" s="20"/>
      <c r="D126" s="21"/>
      <c r="E126" s="22"/>
      <c r="F126" s="22"/>
      <c r="G126" s="23"/>
      <c r="H126" s="23"/>
      <c r="I126" s="24"/>
      <c r="J126" s="24"/>
      <c r="K126" s="24"/>
      <c r="L126" s="23"/>
      <c r="M126" s="23"/>
      <c r="O126" s="25"/>
      <c r="P126" s="26"/>
    </row>
    <row r="127" spans="1:16" s="16" customFormat="1" x14ac:dyDescent="0.25">
      <c r="A127" s="18"/>
      <c r="B127" s="19"/>
      <c r="C127" s="20"/>
      <c r="D127" s="21"/>
      <c r="E127" s="22"/>
      <c r="F127" s="22"/>
      <c r="G127" s="23"/>
      <c r="H127" s="23"/>
      <c r="I127" s="24"/>
      <c r="J127" s="24"/>
      <c r="K127" s="24"/>
      <c r="L127" s="23"/>
      <c r="M127" s="23"/>
      <c r="O127" s="25"/>
      <c r="P127" s="26"/>
    </row>
    <row r="128" spans="1:16" s="16" customFormat="1" x14ac:dyDescent="0.25">
      <c r="A128" s="18"/>
      <c r="B128" s="19"/>
      <c r="C128" s="20"/>
      <c r="D128" s="21"/>
      <c r="E128" s="22"/>
      <c r="F128" s="22"/>
      <c r="G128" s="23"/>
      <c r="H128" s="23"/>
      <c r="I128" s="24"/>
      <c r="J128" s="24"/>
      <c r="K128" s="24"/>
      <c r="L128" s="23"/>
      <c r="M128" s="23"/>
      <c r="O128" s="25"/>
      <c r="P128" s="26"/>
    </row>
    <row r="129" spans="1:16" s="16" customFormat="1" x14ac:dyDescent="0.25">
      <c r="A129" s="18"/>
      <c r="B129" s="19"/>
      <c r="C129" s="20"/>
      <c r="D129" s="21"/>
      <c r="E129" s="22"/>
      <c r="F129" s="22"/>
      <c r="G129" s="23"/>
      <c r="H129" s="23"/>
      <c r="I129" s="24"/>
      <c r="J129" s="24"/>
      <c r="K129" s="24"/>
      <c r="L129" s="23"/>
      <c r="M129" s="23"/>
      <c r="O129" s="25"/>
      <c r="P129" s="26"/>
    </row>
    <row r="130" spans="1:16" s="16" customFormat="1" x14ac:dyDescent="0.25">
      <c r="A130" s="18"/>
      <c r="B130" s="19"/>
      <c r="C130" s="20"/>
      <c r="D130" s="21"/>
      <c r="E130" s="22"/>
      <c r="F130" s="22"/>
      <c r="G130" s="23"/>
      <c r="H130" s="23"/>
      <c r="I130" s="24"/>
      <c r="J130" s="24"/>
      <c r="K130" s="24"/>
      <c r="L130" s="23"/>
      <c r="M130" s="23"/>
      <c r="O130" s="25"/>
      <c r="P130" s="26"/>
    </row>
    <row r="131" spans="1:16" s="16" customFormat="1" x14ac:dyDescent="0.25">
      <c r="A131" s="18"/>
      <c r="B131" s="19"/>
      <c r="C131" s="20"/>
      <c r="D131" s="21"/>
      <c r="E131" s="22"/>
      <c r="F131" s="22"/>
      <c r="G131" s="23"/>
      <c r="H131" s="23"/>
      <c r="I131" s="24"/>
      <c r="J131" s="24"/>
      <c r="K131" s="24"/>
      <c r="L131" s="23"/>
      <c r="M131" s="23"/>
      <c r="O131" s="25"/>
      <c r="P131" s="26"/>
    </row>
    <row r="132" spans="1:16" s="16" customFormat="1" x14ac:dyDescent="0.25">
      <c r="A132" s="18"/>
      <c r="B132" s="19"/>
      <c r="C132" s="20"/>
      <c r="D132" s="21"/>
      <c r="E132" s="22"/>
      <c r="F132" s="22"/>
      <c r="G132" s="23"/>
      <c r="H132" s="23"/>
      <c r="I132" s="24"/>
      <c r="J132" s="24"/>
      <c r="K132" s="24"/>
      <c r="L132" s="23"/>
      <c r="M132" s="23"/>
      <c r="O132" s="25"/>
      <c r="P132" s="26"/>
    </row>
    <row r="133" spans="1:16" s="16" customFormat="1" x14ac:dyDescent="0.25">
      <c r="A133" s="18"/>
      <c r="B133" s="19"/>
      <c r="C133" s="20"/>
      <c r="D133" s="21"/>
      <c r="E133" s="22"/>
      <c r="F133" s="22"/>
      <c r="G133" s="23"/>
      <c r="H133" s="23"/>
      <c r="I133" s="24"/>
      <c r="J133" s="24"/>
      <c r="K133" s="24"/>
      <c r="L133" s="23"/>
      <c r="M133" s="23"/>
      <c r="O133" s="25"/>
      <c r="P133" s="26"/>
    </row>
    <row r="134" spans="1:16" s="16" customFormat="1" x14ac:dyDescent="0.25">
      <c r="A134" s="18"/>
      <c r="B134" s="19"/>
      <c r="C134" s="20"/>
      <c r="D134" s="21"/>
      <c r="E134" s="22"/>
      <c r="F134" s="22"/>
      <c r="G134" s="23"/>
      <c r="H134" s="23"/>
      <c r="I134" s="24"/>
      <c r="J134" s="24"/>
      <c r="K134" s="24"/>
      <c r="L134" s="23"/>
      <c r="M134" s="23"/>
      <c r="O134" s="25"/>
      <c r="P134" s="26"/>
    </row>
    <row r="135" spans="1:16" s="16" customFormat="1" x14ac:dyDescent="0.25">
      <c r="A135" s="18"/>
      <c r="B135" s="19"/>
      <c r="C135" s="20"/>
      <c r="D135" s="21"/>
      <c r="E135" s="22"/>
      <c r="F135" s="22"/>
      <c r="G135" s="23"/>
      <c r="H135" s="23"/>
      <c r="I135" s="24"/>
      <c r="J135" s="24"/>
      <c r="K135" s="24"/>
      <c r="L135" s="23"/>
      <c r="M135" s="23"/>
      <c r="O135" s="25"/>
      <c r="P135" s="26"/>
    </row>
    <row r="136" spans="1:16" s="16" customFormat="1" x14ac:dyDescent="0.25">
      <c r="A136" s="18"/>
      <c r="B136" s="19"/>
      <c r="C136" s="20"/>
      <c r="D136" s="21"/>
      <c r="E136" s="22"/>
      <c r="F136" s="22"/>
      <c r="G136" s="23"/>
      <c r="H136" s="23"/>
      <c r="I136" s="24"/>
      <c r="J136" s="24"/>
      <c r="K136" s="24"/>
      <c r="L136" s="23"/>
      <c r="M136" s="23"/>
      <c r="O136" s="25"/>
      <c r="P136" s="26"/>
    </row>
    <row r="137" spans="1:16" s="16" customFormat="1" x14ac:dyDescent="0.25">
      <c r="A137" s="18"/>
      <c r="B137" s="19"/>
      <c r="C137" s="20"/>
      <c r="D137" s="21"/>
      <c r="E137" s="22"/>
      <c r="F137" s="22"/>
      <c r="G137" s="23"/>
      <c r="H137" s="23"/>
      <c r="I137" s="24"/>
      <c r="J137" s="24"/>
      <c r="K137" s="24"/>
      <c r="L137" s="23"/>
      <c r="M137" s="23"/>
      <c r="O137" s="25"/>
      <c r="P137" s="26"/>
    </row>
    <row r="138" spans="1:16" s="16" customFormat="1" x14ac:dyDescent="0.25">
      <c r="A138" s="18"/>
      <c r="B138" s="19"/>
      <c r="C138" s="20"/>
      <c r="D138" s="21"/>
      <c r="E138" s="22"/>
      <c r="F138" s="22"/>
      <c r="G138" s="23"/>
      <c r="H138" s="23"/>
      <c r="I138" s="24"/>
      <c r="J138" s="24"/>
      <c r="K138" s="24"/>
      <c r="L138" s="23"/>
      <c r="M138" s="23"/>
      <c r="O138" s="25"/>
      <c r="P138" s="26"/>
    </row>
    <row r="139" spans="1:16" s="16" customFormat="1" x14ac:dyDescent="0.25">
      <c r="A139" s="18"/>
      <c r="B139" s="19"/>
      <c r="C139" s="20"/>
      <c r="D139" s="21"/>
      <c r="E139" s="22"/>
      <c r="F139" s="22"/>
      <c r="G139" s="23"/>
      <c r="H139" s="23"/>
      <c r="I139" s="24"/>
      <c r="J139" s="24"/>
      <c r="K139" s="24"/>
      <c r="L139" s="23"/>
      <c r="M139" s="23"/>
      <c r="O139" s="25"/>
      <c r="P139" s="26"/>
    </row>
    <row r="140" spans="1:16" s="16" customFormat="1" x14ac:dyDescent="0.25">
      <c r="A140" s="18"/>
      <c r="B140" s="19"/>
      <c r="C140" s="20"/>
      <c r="D140" s="21"/>
      <c r="E140" s="22"/>
      <c r="F140" s="22"/>
      <c r="G140" s="23"/>
      <c r="H140" s="23"/>
      <c r="I140" s="24"/>
      <c r="J140" s="24"/>
      <c r="K140" s="24"/>
      <c r="L140" s="23"/>
      <c r="M140" s="23"/>
      <c r="O140" s="25"/>
      <c r="P140" s="26"/>
    </row>
    <row r="141" spans="1:16" s="16" customFormat="1" x14ac:dyDescent="0.25">
      <c r="A141" s="18"/>
      <c r="B141" s="19"/>
      <c r="C141" s="20"/>
      <c r="D141" s="21"/>
      <c r="E141" s="22"/>
      <c r="F141" s="22"/>
      <c r="G141" s="23"/>
      <c r="H141" s="23"/>
      <c r="I141" s="24"/>
      <c r="J141" s="24"/>
      <c r="K141" s="24"/>
      <c r="L141" s="23"/>
      <c r="M141" s="23"/>
      <c r="O141" s="25"/>
      <c r="P141" s="26"/>
    </row>
    <row r="142" spans="1:16" s="16" customFormat="1" x14ac:dyDescent="0.25">
      <c r="A142" s="18"/>
      <c r="B142" s="19"/>
      <c r="C142" s="20"/>
      <c r="D142" s="21"/>
      <c r="E142" s="22"/>
      <c r="F142" s="22"/>
      <c r="G142" s="23"/>
      <c r="H142" s="23"/>
      <c r="I142" s="24"/>
      <c r="J142" s="24"/>
      <c r="K142" s="24"/>
      <c r="L142" s="23"/>
      <c r="M142" s="23"/>
      <c r="O142" s="25"/>
      <c r="P142" s="26"/>
    </row>
    <row r="143" spans="1:16" s="16" customFormat="1" x14ac:dyDescent="0.25">
      <c r="A143" s="18"/>
      <c r="B143" s="19"/>
      <c r="C143" s="20"/>
      <c r="D143" s="21"/>
      <c r="E143" s="22"/>
      <c r="F143" s="22"/>
      <c r="G143" s="23"/>
      <c r="H143" s="23"/>
      <c r="I143" s="24"/>
      <c r="J143" s="24"/>
      <c r="K143" s="24"/>
      <c r="L143" s="23"/>
      <c r="M143" s="23"/>
      <c r="O143" s="25"/>
      <c r="P143" s="26"/>
    </row>
    <row r="144" spans="1:16" s="16" customFormat="1" x14ac:dyDescent="0.25">
      <c r="A144" s="18"/>
      <c r="B144" s="19"/>
      <c r="C144" s="20"/>
      <c r="D144" s="21"/>
      <c r="E144" s="22"/>
      <c r="F144" s="22"/>
      <c r="G144" s="23"/>
      <c r="H144" s="23"/>
      <c r="I144" s="24"/>
      <c r="J144" s="24"/>
      <c r="K144" s="24"/>
      <c r="L144" s="23"/>
      <c r="M144" s="23"/>
      <c r="O144" s="25"/>
      <c r="P144" s="26"/>
    </row>
    <row r="145" spans="1:16" s="16" customFormat="1" x14ac:dyDescent="0.25">
      <c r="A145" s="18"/>
      <c r="B145" s="19"/>
      <c r="C145" s="20"/>
      <c r="D145" s="21"/>
      <c r="E145" s="22"/>
      <c r="F145" s="22"/>
      <c r="G145" s="23"/>
      <c r="H145" s="23"/>
      <c r="I145" s="24"/>
      <c r="J145" s="24"/>
      <c r="K145" s="24"/>
      <c r="L145" s="23"/>
      <c r="M145" s="23"/>
      <c r="O145" s="25"/>
      <c r="P145" s="26"/>
    </row>
    <row r="146" spans="1:16" s="16" customFormat="1" x14ac:dyDescent="0.25">
      <c r="A146" s="18"/>
      <c r="B146" s="19"/>
      <c r="C146" s="20"/>
      <c r="D146" s="21"/>
      <c r="E146" s="22"/>
      <c r="F146" s="22"/>
      <c r="G146" s="23"/>
      <c r="H146" s="23"/>
      <c r="I146" s="24"/>
      <c r="J146" s="24"/>
      <c r="K146" s="24"/>
      <c r="L146" s="23"/>
      <c r="M146" s="23"/>
      <c r="O146" s="25"/>
      <c r="P146" s="26"/>
    </row>
    <row r="147" spans="1:16" s="16" customFormat="1" x14ac:dyDescent="0.25">
      <c r="A147" s="18"/>
      <c r="B147" s="19"/>
      <c r="C147" s="20"/>
      <c r="D147" s="21"/>
      <c r="E147" s="22"/>
      <c r="F147" s="22"/>
      <c r="G147" s="23"/>
      <c r="H147" s="23"/>
      <c r="I147" s="24"/>
      <c r="J147" s="24"/>
      <c r="K147" s="24"/>
      <c r="L147" s="23"/>
      <c r="M147" s="23"/>
      <c r="O147" s="25"/>
      <c r="P147" s="26"/>
    </row>
    <row r="148" spans="1:16" s="16" customFormat="1" x14ac:dyDescent="0.25">
      <c r="A148" s="18"/>
      <c r="B148" s="19"/>
      <c r="C148" s="20"/>
      <c r="D148" s="21"/>
      <c r="E148" s="22"/>
      <c r="F148" s="22"/>
      <c r="G148" s="23"/>
      <c r="H148" s="23"/>
      <c r="I148" s="24"/>
      <c r="J148" s="24"/>
      <c r="K148" s="24"/>
      <c r="L148" s="23"/>
      <c r="M148" s="23"/>
      <c r="O148" s="25"/>
      <c r="P148" s="26"/>
    </row>
    <row r="149" spans="1:16" s="16" customFormat="1" x14ac:dyDescent="0.25">
      <c r="A149" s="18"/>
      <c r="B149" s="19"/>
      <c r="C149" s="20"/>
      <c r="D149" s="21"/>
      <c r="E149" s="22"/>
      <c r="F149" s="22"/>
      <c r="G149" s="23"/>
      <c r="H149" s="23"/>
      <c r="I149" s="24"/>
      <c r="J149" s="24"/>
      <c r="K149" s="24"/>
      <c r="L149" s="23"/>
      <c r="M149" s="23"/>
      <c r="O149" s="25"/>
      <c r="P149" s="26"/>
    </row>
    <row r="150" spans="1:16" s="16" customFormat="1" x14ac:dyDescent="0.25">
      <c r="A150" s="18"/>
      <c r="B150" s="19"/>
      <c r="C150" s="20"/>
      <c r="D150" s="21"/>
      <c r="E150" s="22"/>
      <c r="F150" s="22"/>
      <c r="G150" s="23"/>
      <c r="H150" s="23"/>
      <c r="I150" s="24"/>
      <c r="J150" s="24"/>
      <c r="K150" s="24"/>
      <c r="L150" s="23"/>
      <c r="M150" s="23"/>
      <c r="O150" s="25"/>
      <c r="P150" s="26"/>
    </row>
    <row r="151" spans="1:16" s="16" customFormat="1" x14ac:dyDescent="0.25">
      <c r="A151" s="18"/>
      <c r="B151" s="19"/>
      <c r="C151" s="20"/>
      <c r="D151" s="21"/>
      <c r="E151" s="22"/>
      <c r="F151" s="22"/>
      <c r="G151" s="23"/>
      <c r="H151" s="23"/>
      <c r="I151" s="24"/>
      <c r="J151" s="24"/>
      <c r="K151" s="24"/>
      <c r="L151" s="23"/>
      <c r="M151" s="23"/>
      <c r="O151" s="25"/>
      <c r="P151" s="26"/>
    </row>
    <row r="152" spans="1:16" s="16" customFormat="1" x14ac:dyDescent="0.25">
      <c r="A152" s="18"/>
      <c r="B152" s="19"/>
      <c r="C152" s="20"/>
      <c r="D152" s="21"/>
      <c r="E152" s="22"/>
      <c r="F152" s="22"/>
      <c r="G152" s="23"/>
      <c r="H152" s="23"/>
      <c r="I152" s="24"/>
      <c r="J152" s="24"/>
      <c r="K152" s="24"/>
      <c r="L152" s="23"/>
      <c r="M152" s="23"/>
      <c r="O152" s="25"/>
      <c r="P152" s="26"/>
    </row>
    <row r="153" spans="1:16" s="16" customFormat="1" x14ac:dyDescent="0.25">
      <c r="A153" s="18"/>
      <c r="B153" s="19"/>
      <c r="C153" s="20"/>
      <c r="D153" s="21"/>
      <c r="E153" s="22"/>
      <c r="F153" s="22"/>
      <c r="G153" s="23"/>
      <c r="H153" s="23"/>
      <c r="I153" s="24"/>
      <c r="J153" s="24"/>
      <c r="K153" s="24"/>
      <c r="L153" s="23"/>
      <c r="M153" s="23"/>
      <c r="O153" s="25"/>
      <c r="P153" s="26"/>
    </row>
    <row r="154" spans="1:16" s="16" customFormat="1" x14ac:dyDescent="0.25">
      <c r="A154" s="18"/>
      <c r="B154" s="19"/>
      <c r="C154" s="20"/>
      <c r="D154" s="21"/>
      <c r="E154" s="22"/>
      <c r="F154" s="22"/>
      <c r="G154" s="23"/>
      <c r="H154" s="23"/>
      <c r="I154" s="24"/>
      <c r="J154" s="24"/>
      <c r="K154" s="24"/>
      <c r="L154" s="23"/>
      <c r="M154" s="23"/>
      <c r="O154" s="25"/>
      <c r="P154" s="26"/>
    </row>
    <row r="155" spans="1:16" s="16" customFormat="1" x14ac:dyDescent="0.25">
      <c r="A155" s="18"/>
      <c r="B155" s="19"/>
      <c r="C155" s="20"/>
      <c r="D155" s="21"/>
      <c r="E155" s="22"/>
      <c r="F155" s="22"/>
      <c r="G155" s="23"/>
      <c r="H155" s="23"/>
      <c r="I155" s="24"/>
      <c r="J155" s="24"/>
      <c r="K155" s="24"/>
      <c r="L155" s="23"/>
      <c r="M155" s="23"/>
      <c r="O155" s="25"/>
      <c r="P155" s="26"/>
    </row>
    <row r="156" spans="1:16" s="16" customFormat="1" x14ac:dyDescent="0.25">
      <c r="A156" s="18"/>
      <c r="B156" s="19"/>
      <c r="C156" s="20"/>
      <c r="D156" s="21"/>
      <c r="E156" s="22"/>
      <c r="F156" s="22"/>
      <c r="G156" s="23"/>
      <c r="H156" s="23"/>
      <c r="I156" s="24"/>
      <c r="J156" s="24"/>
      <c r="K156" s="24"/>
      <c r="L156" s="23"/>
      <c r="M156" s="23"/>
      <c r="O156" s="25"/>
      <c r="P156" s="26"/>
    </row>
    <row r="157" spans="1:16" s="16" customFormat="1" x14ac:dyDescent="0.25">
      <c r="A157" s="18"/>
      <c r="B157" s="19"/>
      <c r="C157" s="20"/>
      <c r="D157" s="21"/>
      <c r="E157" s="22"/>
      <c r="F157" s="22"/>
      <c r="G157" s="23"/>
      <c r="H157" s="23"/>
      <c r="I157" s="24"/>
      <c r="J157" s="24"/>
      <c r="K157" s="24"/>
      <c r="L157" s="23"/>
      <c r="M157" s="23"/>
      <c r="O157" s="25"/>
      <c r="P157" s="26"/>
    </row>
    <row r="158" spans="1:16" s="16" customFormat="1" x14ac:dyDescent="0.25">
      <c r="A158" s="18"/>
      <c r="B158" s="19"/>
      <c r="C158" s="20"/>
      <c r="D158" s="21"/>
      <c r="E158" s="22"/>
      <c r="F158" s="22"/>
      <c r="G158" s="23"/>
      <c r="H158" s="23"/>
      <c r="I158" s="24"/>
      <c r="J158" s="24"/>
      <c r="K158" s="24"/>
      <c r="L158" s="23"/>
      <c r="M158" s="23"/>
      <c r="O158" s="25"/>
      <c r="P158" s="26"/>
    </row>
    <row r="159" spans="1:16" s="16" customFormat="1" x14ac:dyDescent="0.25">
      <c r="A159" s="18"/>
      <c r="B159" s="19"/>
      <c r="C159" s="20"/>
      <c r="D159" s="21"/>
      <c r="E159" s="22"/>
      <c r="F159" s="22"/>
      <c r="G159" s="23"/>
      <c r="H159" s="23"/>
      <c r="I159" s="24"/>
      <c r="J159" s="24"/>
      <c r="K159" s="24"/>
      <c r="L159" s="23"/>
      <c r="M159" s="23"/>
      <c r="O159" s="25"/>
      <c r="P159" s="26"/>
    </row>
    <row r="160" spans="1:16" s="16" customFormat="1" x14ac:dyDescent="0.25">
      <c r="A160" s="18"/>
      <c r="B160" s="19"/>
      <c r="C160" s="20"/>
      <c r="D160" s="21"/>
      <c r="E160" s="22"/>
      <c r="F160" s="22"/>
      <c r="G160" s="23"/>
      <c r="H160" s="23"/>
      <c r="I160" s="24"/>
      <c r="J160" s="24"/>
      <c r="K160" s="24"/>
      <c r="L160" s="23"/>
      <c r="M160" s="23"/>
      <c r="O160" s="25"/>
      <c r="P160" s="26"/>
    </row>
    <row r="161" spans="1:16" s="16" customFormat="1" x14ac:dyDescent="0.25">
      <c r="A161" s="18"/>
      <c r="B161" s="19"/>
      <c r="C161" s="20"/>
      <c r="D161" s="21"/>
      <c r="E161" s="22"/>
      <c r="F161" s="22"/>
      <c r="G161" s="23"/>
      <c r="H161" s="23"/>
      <c r="I161" s="24"/>
      <c r="J161" s="24"/>
      <c r="K161" s="24"/>
      <c r="L161" s="23"/>
      <c r="M161" s="23"/>
      <c r="O161" s="25"/>
      <c r="P161" s="26"/>
    </row>
    <row r="162" spans="1:16" s="16" customFormat="1" x14ac:dyDescent="0.25">
      <c r="A162" s="18"/>
      <c r="B162" s="19"/>
      <c r="C162" s="20"/>
      <c r="D162" s="21"/>
      <c r="E162" s="22"/>
      <c r="F162" s="22"/>
      <c r="G162" s="23"/>
      <c r="H162" s="23"/>
      <c r="I162" s="24"/>
      <c r="J162" s="24"/>
      <c r="K162" s="24"/>
      <c r="L162" s="23"/>
      <c r="M162" s="23"/>
      <c r="O162" s="25"/>
      <c r="P162" s="26"/>
    </row>
    <row r="163" spans="1:16" s="16" customFormat="1" x14ac:dyDescent="0.25">
      <c r="A163" s="18"/>
      <c r="B163" s="19"/>
      <c r="C163" s="20"/>
      <c r="D163" s="21"/>
      <c r="E163" s="22"/>
      <c r="F163" s="22"/>
      <c r="G163" s="23"/>
      <c r="H163" s="23"/>
      <c r="I163" s="24"/>
      <c r="J163" s="24"/>
      <c r="K163" s="24"/>
      <c r="L163" s="23"/>
      <c r="M163" s="23"/>
      <c r="O163" s="25"/>
      <c r="P163" s="26"/>
    </row>
    <row r="164" spans="1:16" s="16" customFormat="1" x14ac:dyDescent="0.25">
      <c r="A164" s="18"/>
      <c r="B164" s="19"/>
      <c r="C164" s="20"/>
      <c r="D164" s="21"/>
      <c r="E164" s="22"/>
      <c r="F164" s="22"/>
      <c r="G164" s="23"/>
      <c r="H164" s="23"/>
      <c r="I164" s="24"/>
      <c r="J164" s="24"/>
      <c r="K164" s="24"/>
      <c r="L164" s="23"/>
      <c r="M164" s="23"/>
      <c r="O164" s="25"/>
      <c r="P164" s="26"/>
    </row>
    <row r="165" spans="1:16" s="16" customFormat="1" x14ac:dyDescent="0.25">
      <c r="A165" s="18"/>
      <c r="B165" s="19"/>
      <c r="C165" s="20"/>
      <c r="D165" s="21"/>
      <c r="E165" s="22"/>
      <c r="F165" s="22"/>
      <c r="G165" s="23"/>
      <c r="H165" s="23"/>
      <c r="I165" s="24"/>
      <c r="J165" s="24"/>
      <c r="K165" s="24"/>
      <c r="L165" s="23"/>
      <c r="M165" s="23"/>
      <c r="O165" s="25"/>
      <c r="P165" s="26"/>
    </row>
    <row r="166" spans="1:16" s="16" customFormat="1" x14ac:dyDescent="0.25">
      <c r="A166" s="18"/>
      <c r="B166" s="19"/>
      <c r="C166" s="20"/>
      <c r="D166" s="21"/>
      <c r="E166" s="22"/>
      <c r="F166" s="22"/>
      <c r="G166" s="23"/>
      <c r="H166" s="23"/>
      <c r="I166" s="24"/>
      <c r="J166" s="24"/>
      <c r="K166" s="24"/>
      <c r="L166" s="23"/>
      <c r="M166" s="23"/>
      <c r="O166" s="25"/>
      <c r="P166" s="26"/>
    </row>
    <row r="167" spans="1:16" s="16" customFormat="1" x14ac:dyDescent="0.25">
      <c r="A167" s="18"/>
      <c r="B167" s="19"/>
      <c r="C167" s="20"/>
      <c r="D167" s="21"/>
      <c r="E167" s="22"/>
      <c r="F167" s="22"/>
      <c r="G167" s="23"/>
      <c r="H167" s="23"/>
      <c r="I167" s="24"/>
      <c r="J167" s="24"/>
      <c r="K167" s="24"/>
      <c r="L167" s="23"/>
      <c r="M167" s="23"/>
      <c r="O167" s="25"/>
      <c r="P167" s="26"/>
    </row>
    <row r="168" spans="1:16" s="16" customFormat="1" x14ac:dyDescent="0.25">
      <c r="A168" s="18"/>
      <c r="B168" s="19"/>
      <c r="C168" s="20"/>
      <c r="D168" s="21"/>
      <c r="E168" s="22"/>
      <c r="F168" s="22"/>
      <c r="G168" s="23"/>
      <c r="H168" s="23"/>
      <c r="I168" s="24"/>
      <c r="J168" s="24"/>
      <c r="K168" s="24"/>
      <c r="L168" s="23"/>
      <c r="M168" s="23"/>
      <c r="O168" s="25"/>
      <c r="P168" s="26"/>
    </row>
    <row r="169" spans="1:16" s="16" customFormat="1" x14ac:dyDescent="0.25">
      <c r="A169" s="18"/>
      <c r="B169" s="19"/>
      <c r="C169" s="20"/>
      <c r="D169" s="21"/>
      <c r="E169" s="22"/>
      <c r="F169" s="22"/>
      <c r="G169" s="23"/>
      <c r="H169" s="23"/>
      <c r="I169" s="24"/>
      <c r="J169" s="24"/>
      <c r="K169" s="24"/>
      <c r="L169" s="23"/>
      <c r="M169" s="23"/>
      <c r="O169" s="25"/>
      <c r="P169" s="26"/>
    </row>
    <row r="170" spans="1:16" s="16" customFormat="1" x14ac:dyDescent="0.25">
      <c r="A170" s="18"/>
      <c r="B170" s="19"/>
      <c r="C170" s="20"/>
      <c r="D170" s="21"/>
      <c r="E170" s="22"/>
      <c r="F170" s="22"/>
      <c r="G170" s="23"/>
      <c r="H170" s="23"/>
      <c r="I170" s="24"/>
      <c r="J170" s="24"/>
      <c r="K170" s="24"/>
      <c r="L170" s="23"/>
      <c r="M170" s="23"/>
      <c r="O170" s="25"/>
      <c r="P170" s="26"/>
    </row>
    <row r="171" spans="1:16" s="16" customFormat="1" x14ac:dyDescent="0.25">
      <c r="A171" s="18"/>
      <c r="B171" s="19"/>
      <c r="C171" s="20"/>
      <c r="D171" s="21"/>
      <c r="E171" s="22"/>
      <c r="F171" s="22"/>
      <c r="G171" s="23"/>
      <c r="H171" s="23"/>
      <c r="I171" s="24"/>
      <c r="J171" s="24"/>
      <c r="K171" s="24"/>
      <c r="L171" s="23"/>
      <c r="M171" s="23"/>
      <c r="O171" s="25"/>
      <c r="P171" s="26"/>
    </row>
    <row r="172" spans="1:16" s="16" customFormat="1" x14ac:dyDescent="0.25">
      <c r="A172" s="18"/>
      <c r="B172" s="19"/>
      <c r="C172" s="20"/>
      <c r="D172" s="21"/>
      <c r="E172" s="22"/>
      <c r="F172" s="22"/>
      <c r="G172" s="23"/>
      <c r="H172" s="23"/>
      <c r="I172" s="24"/>
      <c r="J172" s="24"/>
      <c r="K172" s="24"/>
      <c r="L172" s="23"/>
      <c r="M172" s="23"/>
      <c r="O172" s="25"/>
      <c r="P172" s="26"/>
    </row>
    <row r="173" spans="1:16" s="16" customFormat="1" x14ac:dyDescent="0.25">
      <c r="A173" s="18"/>
      <c r="B173" s="19"/>
      <c r="C173" s="20"/>
      <c r="D173" s="21"/>
      <c r="E173" s="22"/>
      <c r="F173" s="22"/>
      <c r="G173" s="23"/>
      <c r="H173" s="23"/>
      <c r="I173" s="24"/>
      <c r="J173" s="24"/>
      <c r="K173" s="24"/>
      <c r="L173" s="23"/>
      <c r="M173" s="23"/>
      <c r="O173" s="25"/>
      <c r="P173" s="26"/>
    </row>
    <row r="174" spans="1:16" s="16" customFormat="1" x14ac:dyDescent="0.25">
      <c r="A174" s="18"/>
      <c r="B174" s="19"/>
      <c r="C174" s="20"/>
      <c r="D174" s="21"/>
      <c r="E174" s="22"/>
      <c r="F174" s="22"/>
      <c r="G174" s="23"/>
      <c r="H174" s="23"/>
      <c r="I174" s="24"/>
      <c r="J174" s="24"/>
      <c r="K174" s="24"/>
      <c r="L174" s="23"/>
      <c r="M174" s="23"/>
      <c r="O174" s="25"/>
      <c r="P174" s="26"/>
    </row>
    <row r="175" spans="1:16" s="16" customFormat="1" x14ac:dyDescent="0.25">
      <c r="A175" s="18"/>
      <c r="B175" s="19"/>
      <c r="C175" s="20"/>
      <c r="D175" s="21"/>
      <c r="E175" s="22"/>
      <c r="F175" s="22"/>
      <c r="G175" s="23"/>
      <c r="H175" s="23"/>
      <c r="I175" s="24"/>
      <c r="J175" s="24"/>
      <c r="K175" s="24"/>
      <c r="L175" s="23"/>
      <c r="M175" s="23"/>
      <c r="O175" s="25"/>
      <c r="P175" s="26"/>
    </row>
    <row r="176" spans="1:16" s="16" customFormat="1" x14ac:dyDescent="0.25">
      <c r="A176" s="18"/>
      <c r="B176" s="19"/>
      <c r="C176" s="20"/>
      <c r="D176" s="21"/>
      <c r="E176" s="22"/>
      <c r="F176" s="22"/>
      <c r="G176" s="23"/>
      <c r="H176" s="23"/>
      <c r="I176" s="24"/>
      <c r="J176" s="24"/>
      <c r="K176" s="24"/>
      <c r="L176" s="23"/>
      <c r="M176" s="23"/>
      <c r="O176" s="25"/>
      <c r="P176" s="26"/>
    </row>
    <row r="177" spans="1:16" s="16" customFormat="1" x14ac:dyDescent="0.25">
      <c r="A177" s="18"/>
      <c r="B177" s="19"/>
      <c r="C177" s="20"/>
      <c r="D177" s="21"/>
      <c r="E177" s="22"/>
      <c r="F177" s="22"/>
      <c r="G177" s="23"/>
      <c r="H177" s="23"/>
      <c r="I177" s="24"/>
      <c r="J177" s="24"/>
      <c r="K177" s="24"/>
      <c r="L177" s="23"/>
      <c r="M177" s="23"/>
      <c r="O177" s="25"/>
      <c r="P177" s="26"/>
    </row>
    <row r="178" spans="1:16" s="16" customFormat="1" x14ac:dyDescent="0.25">
      <c r="A178" s="18"/>
      <c r="B178" s="19"/>
      <c r="C178" s="20"/>
      <c r="D178" s="21"/>
      <c r="E178" s="22"/>
      <c r="F178" s="22"/>
      <c r="G178" s="23"/>
      <c r="H178" s="23"/>
      <c r="I178" s="24"/>
      <c r="J178" s="24"/>
      <c r="K178" s="24"/>
      <c r="L178" s="23"/>
      <c r="M178" s="23"/>
      <c r="O178" s="25"/>
      <c r="P178" s="26"/>
    </row>
    <row r="179" spans="1:16" s="16" customFormat="1" x14ac:dyDescent="0.25">
      <c r="A179" s="18"/>
      <c r="B179" s="19"/>
      <c r="C179" s="20"/>
      <c r="D179" s="21"/>
      <c r="E179" s="22"/>
      <c r="F179" s="22"/>
      <c r="G179" s="23"/>
      <c r="H179" s="23"/>
      <c r="I179" s="24"/>
      <c r="J179" s="24"/>
      <c r="K179" s="24"/>
      <c r="L179" s="23"/>
      <c r="M179" s="23"/>
      <c r="O179" s="25"/>
      <c r="P179" s="26"/>
    </row>
    <row r="180" spans="1:16" s="16" customFormat="1" x14ac:dyDescent="0.25">
      <c r="A180" s="18"/>
      <c r="B180" s="19"/>
      <c r="C180" s="20"/>
      <c r="D180" s="21"/>
      <c r="E180" s="22"/>
      <c r="F180" s="22"/>
      <c r="G180" s="23"/>
      <c r="H180" s="23"/>
      <c r="I180" s="24"/>
      <c r="J180" s="24"/>
      <c r="K180" s="24"/>
      <c r="L180" s="23"/>
      <c r="M180" s="23"/>
      <c r="O180" s="25"/>
      <c r="P180" s="26"/>
    </row>
    <row r="181" spans="1:16" s="16" customFormat="1" x14ac:dyDescent="0.25">
      <c r="A181" s="18"/>
      <c r="B181" s="19"/>
      <c r="C181" s="20"/>
      <c r="D181" s="21"/>
      <c r="E181" s="22"/>
      <c r="F181" s="22"/>
      <c r="G181" s="23"/>
      <c r="H181" s="23"/>
      <c r="I181" s="24"/>
      <c r="J181" s="24"/>
      <c r="K181" s="24"/>
      <c r="L181" s="23"/>
      <c r="M181" s="23"/>
      <c r="O181" s="25"/>
      <c r="P181" s="26"/>
    </row>
    <row r="182" spans="1:16" s="16" customFormat="1" x14ac:dyDescent="0.25">
      <c r="A182" s="18"/>
      <c r="B182" s="19"/>
      <c r="C182" s="20"/>
      <c r="D182" s="21"/>
      <c r="E182" s="22"/>
      <c r="F182" s="22"/>
      <c r="G182" s="23"/>
      <c r="H182" s="23"/>
      <c r="I182" s="24"/>
      <c r="J182" s="24"/>
      <c r="K182" s="24"/>
      <c r="L182" s="23"/>
      <c r="M182" s="23"/>
      <c r="O182" s="25"/>
      <c r="P182" s="26"/>
    </row>
    <row r="183" spans="1:16" s="16" customFormat="1" x14ac:dyDescent="0.25">
      <c r="A183" s="18"/>
      <c r="B183" s="19"/>
      <c r="C183" s="20"/>
      <c r="D183" s="21"/>
      <c r="E183" s="22"/>
      <c r="F183" s="22"/>
      <c r="G183" s="23"/>
      <c r="H183" s="23"/>
      <c r="I183" s="24"/>
      <c r="J183" s="24"/>
      <c r="K183" s="24"/>
      <c r="L183" s="23"/>
      <c r="M183" s="23"/>
      <c r="O183" s="25"/>
      <c r="P183" s="26"/>
    </row>
    <row r="184" spans="1:16" s="16" customFormat="1" x14ac:dyDescent="0.25">
      <c r="A184" s="18"/>
      <c r="B184" s="19"/>
      <c r="C184" s="20"/>
      <c r="D184" s="21"/>
      <c r="E184" s="22"/>
      <c r="F184" s="22"/>
      <c r="G184" s="23"/>
      <c r="H184" s="23"/>
      <c r="I184" s="24"/>
      <c r="J184" s="24"/>
      <c r="K184" s="24"/>
      <c r="L184" s="23"/>
      <c r="M184" s="23"/>
      <c r="O184" s="25"/>
      <c r="P184" s="26"/>
    </row>
    <row r="185" spans="1:16" s="16" customFormat="1" x14ac:dyDescent="0.25">
      <c r="A185" s="18"/>
      <c r="B185" s="19"/>
      <c r="C185" s="20"/>
      <c r="D185" s="21"/>
      <c r="E185" s="22"/>
      <c r="F185" s="22"/>
      <c r="G185" s="23"/>
      <c r="H185" s="23"/>
      <c r="I185" s="24"/>
      <c r="J185" s="24"/>
      <c r="K185" s="24"/>
      <c r="L185" s="23"/>
      <c r="M185" s="23"/>
      <c r="O185" s="25"/>
      <c r="P185" s="26"/>
    </row>
    <row r="186" spans="1:16" s="16" customFormat="1" x14ac:dyDescent="0.25">
      <c r="A186" s="18"/>
      <c r="B186" s="19"/>
      <c r="C186" s="20"/>
      <c r="D186" s="21"/>
      <c r="E186" s="22"/>
      <c r="F186" s="22"/>
      <c r="G186" s="23"/>
      <c r="H186" s="23"/>
      <c r="I186" s="24"/>
      <c r="J186" s="24"/>
      <c r="K186" s="24"/>
      <c r="L186" s="23"/>
      <c r="M186" s="23"/>
      <c r="O186" s="25"/>
      <c r="P186" s="26"/>
    </row>
    <row r="187" spans="1:16" s="16" customFormat="1" x14ac:dyDescent="0.25">
      <c r="A187" s="18"/>
      <c r="B187" s="19"/>
      <c r="C187" s="20"/>
      <c r="D187" s="21"/>
      <c r="E187" s="22"/>
      <c r="F187" s="22"/>
      <c r="G187" s="23"/>
      <c r="H187" s="23"/>
      <c r="I187" s="24"/>
      <c r="J187" s="24"/>
      <c r="K187" s="24"/>
      <c r="L187" s="23"/>
      <c r="M187" s="23"/>
      <c r="O187" s="25"/>
      <c r="P187" s="26"/>
    </row>
    <row r="188" spans="1:16" s="16" customFormat="1" x14ac:dyDescent="0.25">
      <c r="A188" s="18"/>
      <c r="B188" s="19"/>
      <c r="C188" s="20"/>
      <c r="D188" s="21"/>
      <c r="E188" s="22"/>
      <c r="F188" s="22"/>
      <c r="G188" s="23"/>
      <c r="H188" s="23"/>
      <c r="I188" s="24"/>
      <c r="J188" s="24"/>
      <c r="K188" s="24"/>
      <c r="L188" s="23"/>
      <c r="M188" s="23"/>
      <c r="O188" s="25"/>
      <c r="P188" s="26"/>
    </row>
    <row r="189" spans="1:16" s="16" customFormat="1" x14ac:dyDescent="0.25">
      <c r="A189" s="18"/>
      <c r="B189" s="19"/>
      <c r="C189" s="20"/>
      <c r="D189" s="21"/>
      <c r="E189" s="22"/>
      <c r="F189" s="22"/>
      <c r="G189" s="23"/>
      <c r="H189" s="23"/>
      <c r="I189" s="24"/>
      <c r="J189" s="24"/>
      <c r="K189" s="24"/>
      <c r="L189" s="23"/>
      <c r="M189" s="23"/>
      <c r="O189" s="25"/>
      <c r="P189" s="26"/>
    </row>
    <row r="190" spans="1:16" s="16" customFormat="1" x14ac:dyDescent="0.25">
      <c r="A190" s="18"/>
      <c r="B190" s="19"/>
      <c r="C190" s="20"/>
      <c r="D190" s="21"/>
      <c r="E190" s="22"/>
      <c r="F190" s="22"/>
      <c r="G190" s="23"/>
      <c r="H190" s="23"/>
      <c r="I190" s="24"/>
      <c r="J190" s="24"/>
      <c r="K190" s="24"/>
      <c r="L190" s="23"/>
      <c r="M190" s="23"/>
      <c r="O190" s="25"/>
      <c r="P190" s="26"/>
    </row>
    <row r="191" spans="1:16" s="16" customFormat="1" x14ac:dyDescent="0.25">
      <c r="A191" s="18"/>
      <c r="B191" s="19"/>
      <c r="C191" s="20"/>
      <c r="D191" s="21"/>
      <c r="E191" s="22"/>
      <c r="F191" s="22"/>
      <c r="G191" s="23"/>
      <c r="H191" s="23"/>
      <c r="I191" s="24"/>
      <c r="J191" s="24"/>
      <c r="K191" s="24"/>
      <c r="L191" s="23"/>
      <c r="M191" s="23"/>
      <c r="O191" s="25"/>
      <c r="P191" s="26"/>
    </row>
    <row r="192" spans="1:16" s="16" customFormat="1" x14ac:dyDescent="0.25">
      <c r="A192" s="18"/>
      <c r="B192" s="19"/>
      <c r="C192" s="20"/>
      <c r="D192" s="21"/>
      <c r="E192" s="22"/>
      <c r="F192" s="22"/>
      <c r="G192" s="23"/>
      <c r="H192" s="23"/>
      <c r="I192" s="24"/>
      <c r="J192" s="24"/>
      <c r="K192" s="24"/>
      <c r="L192" s="23"/>
      <c r="M192" s="23"/>
      <c r="O192" s="25"/>
      <c r="P192" s="26"/>
    </row>
    <row r="193" spans="1:16" s="16" customFormat="1" x14ac:dyDescent="0.25">
      <c r="A193" s="18"/>
      <c r="B193" s="19"/>
      <c r="C193" s="20"/>
      <c r="D193" s="21"/>
      <c r="E193" s="22"/>
      <c r="F193" s="22"/>
      <c r="G193" s="23"/>
      <c r="H193" s="23"/>
      <c r="I193" s="24"/>
      <c r="J193" s="24"/>
      <c r="K193" s="24"/>
      <c r="L193" s="23"/>
      <c r="M193" s="23"/>
      <c r="O193" s="25"/>
      <c r="P193" s="26"/>
    </row>
    <row r="194" spans="1:16" s="16" customFormat="1" x14ac:dyDescent="0.25">
      <c r="A194" s="18"/>
      <c r="B194" s="19"/>
      <c r="C194" s="20"/>
      <c r="D194" s="21"/>
      <c r="E194" s="22"/>
      <c r="F194" s="22"/>
      <c r="G194" s="23"/>
      <c r="H194" s="23"/>
      <c r="I194" s="24"/>
      <c r="J194" s="24"/>
      <c r="K194" s="24"/>
      <c r="L194" s="23"/>
      <c r="M194" s="23"/>
      <c r="O194" s="25"/>
      <c r="P194" s="26"/>
    </row>
    <row r="195" spans="1:16" s="16" customFormat="1" x14ac:dyDescent="0.25">
      <c r="A195" s="18"/>
      <c r="B195" s="19"/>
      <c r="C195" s="20"/>
      <c r="D195" s="21"/>
      <c r="E195" s="22"/>
      <c r="F195" s="22"/>
      <c r="G195" s="23"/>
      <c r="H195" s="23"/>
      <c r="I195" s="24"/>
      <c r="J195" s="24"/>
      <c r="K195" s="24"/>
      <c r="L195" s="23"/>
      <c r="M195" s="23"/>
      <c r="O195" s="25"/>
      <c r="P195" s="26"/>
    </row>
    <row r="196" spans="1:16" s="16" customFormat="1" x14ac:dyDescent="0.25">
      <c r="A196" s="18"/>
      <c r="B196" s="19"/>
      <c r="C196" s="20"/>
      <c r="D196" s="21"/>
      <c r="E196" s="22"/>
      <c r="F196" s="22"/>
      <c r="G196" s="23"/>
      <c r="H196" s="23"/>
      <c r="I196" s="24"/>
      <c r="J196" s="24"/>
      <c r="K196" s="24"/>
      <c r="L196" s="23"/>
      <c r="M196" s="23"/>
      <c r="O196" s="25"/>
      <c r="P196" s="26"/>
    </row>
    <row r="197" spans="1:16" s="16" customFormat="1" x14ac:dyDescent="0.25">
      <c r="A197" s="18"/>
      <c r="B197" s="19"/>
      <c r="C197" s="20"/>
      <c r="D197" s="21"/>
      <c r="E197" s="22"/>
      <c r="F197" s="22"/>
      <c r="G197" s="23"/>
      <c r="H197" s="23"/>
      <c r="I197" s="24"/>
      <c r="J197" s="24"/>
      <c r="K197" s="24"/>
      <c r="L197" s="23"/>
      <c r="M197" s="23"/>
      <c r="O197" s="25"/>
      <c r="P197" s="26"/>
    </row>
    <row r="198" spans="1:16" s="16" customFormat="1" x14ac:dyDescent="0.25">
      <c r="A198" s="18"/>
      <c r="B198" s="19"/>
      <c r="C198" s="20"/>
      <c r="D198" s="21"/>
      <c r="E198" s="22"/>
      <c r="F198" s="22"/>
      <c r="G198" s="23"/>
      <c r="H198" s="23"/>
      <c r="I198" s="24"/>
      <c r="J198" s="24"/>
      <c r="K198" s="24"/>
      <c r="L198" s="23"/>
      <c r="M198" s="23"/>
      <c r="O198" s="25"/>
      <c r="P198" s="26"/>
    </row>
    <row r="199" spans="1:16" s="16" customFormat="1" x14ac:dyDescent="0.25">
      <c r="A199" s="18"/>
      <c r="B199" s="19"/>
      <c r="C199" s="20"/>
      <c r="D199" s="21"/>
      <c r="E199" s="22"/>
      <c r="F199" s="22"/>
      <c r="G199" s="23"/>
      <c r="H199" s="23"/>
      <c r="I199" s="24"/>
      <c r="J199" s="24"/>
      <c r="K199" s="24"/>
      <c r="L199" s="23"/>
      <c r="M199" s="23"/>
      <c r="O199" s="25"/>
      <c r="P199" s="26"/>
    </row>
    <row r="200" spans="1:16" s="16" customFormat="1" x14ac:dyDescent="0.25">
      <c r="A200" s="18"/>
      <c r="B200" s="19"/>
      <c r="C200" s="20"/>
      <c r="D200" s="21"/>
      <c r="E200" s="22"/>
      <c r="F200" s="22"/>
      <c r="G200" s="23"/>
      <c r="H200" s="23"/>
      <c r="I200" s="24"/>
      <c r="J200" s="24"/>
      <c r="K200" s="24"/>
      <c r="L200" s="23"/>
      <c r="M200" s="23"/>
      <c r="O200" s="25"/>
      <c r="P200" s="26"/>
    </row>
    <row r="201" spans="1:16" s="16" customFormat="1" x14ac:dyDescent="0.25">
      <c r="A201" s="18"/>
      <c r="B201" s="19"/>
      <c r="C201" s="20"/>
      <c r="D201" s="21"/>
      <c r="E201" s="22"/>
      <c r="F201" s="22"/>
      <c r="G201" s="23"/>
      <c r="H201" s="23"/>
      <c r="I201" s="24"/>
      <c r="J201" s="24"/>
      <c r="K201" s="24"/>
      <c r="L201" s="23"/>
      <c r="M201" s="23"/>
      <c r="O201" s="25"/>
      <c r="P201" s="26"/>
    </row>
    <row r="202" spans="1:16" s="16" customFormat="1" x14ac:dyDescent="0.25">
      <c r="A202" s="18"/>
      <c r="B202" s="19"/>
      <c r="C202" s="20"/>
      <c r="D202" s="21"/>
      <c r="E202" s="22"/>
      <c r="F202" s="22"/>
      <c r="G202" s="23"/>
      <c r="H202" s="23"/>
      <c r="I202" s="24"/>
      <c r="J202" s="24"/>
      <c r="K202" s="24"/>
      <c r="L202" s="23"/>
      <c r="M202" s="23"/>
      <c r="O202" s="25"/>
      <c r="P202" s="26"/>
    </row>
    <row r="203" spans="1:16" s="16" customFormat="1" x14ac:dyDescent="0.25">
      <c r="A203" s="18"/>
      <c r="B203" s="19"/>
      <c r="C203" s="20"/>
      <c r="D203" s="21"/>
      <c r="E203" s="22"/>
      <c r="F203" s="22"/>
      <c r="G203" s="23"/>
      <c r="H203" s="23"/>
      <c r="I203" s="24"/>
      <c r="J203" s="24"/>
      <c r="K203" s="24"/>
      <c r="L203" s="23"/>
      <c r="M203" s="23"/>
      <c r="O203" s="25"/>
      <c r="P203" s="26"/>
    </row>
    <row r="204" spans="1:16" s="16" customFormat="1" x14ac:dyDescent="0.25">
      <c r="A204" s="18"/>
      <c r="B204" s="19"/>
      <c r="C204" s="20"/>
      <c r="D204" s="21"/>
      <c r="E204" s="22"/>
      <c r="F204" s="22"/>
      <c r="G204" s="23"/>
      <c r="H204" s="23"/>
      <c r="I204" s="24"/>
      <c r="J204" s="24"/>
      <c r="K204" s="24"/>
      <c r="L204" s="23"/>
      <c r="M204" s="23"/>
      <c r="O204" s="25"/>
      <c r="P204" s="26"/>
    </row>
    <row r="205" spans="1:16" s="16" customFormat="1" x14ac:dyDescent="0.25">
      <c r="A205" s="18"/>
      <c r="B205" s="19"/>
      <c r="C205" s="20"/>
      <c r="D205" s="21"/>
      <c r="E205" s="22"/>
      <c r="F205" s="22"/>
      <c r="G205" s="23"/>
      <c r="H205" s="23"/>
      <c r="I205" s="24"/>
      <c r="J205" s="24"/>
      <c r="K205" s="24"/>
      <c r="L205" s="23"/>
      <c r="M205" s="23"/>
      <c r="O205" s="25"/>
      <c r="P205" s="26"/>
    </row>
    <row r="206" spans="1:16" s="16" customFormat="1" x14ac:dyDescent="0.25">
      <c r="A206" s="18"/>
      <c r="B206" s="19"/>
      <c r="C206" s="20"/>
      <c r="D206" s="21"/>
      <c r="E206" s="22"/>
      <c r="F206" s="22"/>
      <c r="G206" s="23"/>
      <c r="H206" s="23"/>
      <c r="I206" s="24"/>
      <c r="J206" s="24"/>
      <c r="K206" s="24"/>
      <c r="L206" s="23"/>
      <c r="M206" s="23"/>
      <c r="O206" s="25"/>
      <c r="P206" s="26"/>
    </row>
    <row r="207" spans="1:16" s="16" customFormat="1" x14ac:dyDescent="0.25">
      <c r="A207" s="18"/>
      <c r="B207" s="19"/>
      <c r="C207" s="20"/>
      <c r="D207" s="21"/>
      <c r="E207" s="22"/>
      <c r="F207" s="22"/>
      <c r="G207" s="23"/>
      <c r="H207" s="23"/>
      <c r="I207" s="24"/>
      <c r="J207" s="24"/>
      <c r="K207" s="24"/>
      <c r="L207" s="23"/>
      <c r="M207" s="23"/>
      <c r="O207" s="25"/>
      <c r="P207" s="26"/>
    </row>
    <row r="208" spans="1:16" s="16" customFormat="1" x14ac:dyDescent="0.25">
      <c r="A208" s="18"/>
      <c r="B208" s="19"/>
      <c r="C208" s="20"/>
      <c r="D208" s="21"/>
      <c r="E208" s="22"/>
      <c r="F208" s="22"/>
      <c r="G208" s="23"/>
      <c r="H208" s="23"/>
      <c r="I208" s="24"/>
      <c r="J208" s="24"/>
      <c r="K208" s="24"/>
      <c r="L208" s="23"/>
      <c r="M208" s="23"/>
      <c r="O208" s="25"/>
      <c r="P208" s="26"/>
    </row>
    <row r="209" spans="1:16" s="16" customFormat="1" x14ac:dyDescent="0.25">
      <c r="A209" s="18"/>
      <c r="B209" s="19"/>
      <c r="C209" s="20"/>
      <c r="D209" s="21"/>
      <c r="E209" s="22"/>
      <c r="F209" s="22"/>
      <c r="G209" s="23"/>
      <c r="H209" s="23"/>
      <c r="I209" s="24"/>
      <c r="J209" s="24"/>
      <c r="K209" s="24"/>
      <c r="L209" s="23"/>
      <c r="M209" s="23"/>
      <c r="O209" s="25"/>
      <c r="P209" s="26"/>
    </row>
    <row r="210" spans="1:16" s="16" customFormat="1" x14ac:dyDescent="0.25">
      <c r="A210" s="18"/>
      <c r="B210" s="19"/>
      <c r="C210" s="20"/>
      <c r="D210" s="21"/>
      <c r="E210" s="22"/>
      <c r="F210" s="22"/>
      <c r="G210" s="23"/>
      <c r="H210" s="23"/>
      <c r="I210" s="24"/>
      <c r="J210" s="24"/>
      <c r="K210" s="24"/>
      <c r="L210" s="23"/>
      <c r="M210" s="23"/>
      <c r="O210" s="25"/>
      <c r="P210" s="26"/>
    </row>
    <row r="211" spans="1:16" s="16" customFormat="1" x14ac:dyDescent="0.25">
      <c r="A211" s="18"/>
      <c r="B211" s="19"/>
      <c r="C211" s="20"/>
      <c r="D211" s="21"/>
      <c r="E211" s="22"/>
      <c r="F211" s="22"/>
      <c r="G211" s="23"/>
      <c r="H211" s="23"/>
      <c r="I211" s="24"/>
      <c r="J211" s="24"/>
      <c r="K211" s="24"/>
      <c r="L211" s="23"/>
      <c r="M211" s="23"/>
      <c r="O211" s="25"/>
      <c r="P211" s="26"/>
    </row>
    <row r="212" spans="1:16" s="16" customFormat="1" x14ac:dyDescent="0.25">
      <c r="A212" s="18"/>
      <c r="B212" s="19"/>
      <c r="C212" s="20"/>
      <c r="D212" s="21"/>
      <c r="E212" s="22"/>
      <c r="F212" s="22"/>
      <c r="G212" s="23"/>
      <c r="H212" s="23"/>
      <c r="I212" s="24"/>
      <c r="J212" s="24"/>
      <c r="K212" s="24"/>
      <c r="L212" s="23"/>
      <c r="M212" s="23"/>
      <c r="O212" s="25"/>
      <c r="P212" s="26"/>
    </row>
    <row r="213" spans="1:16" s="16" customFormat="1" x14ac:dyDescent="0.25">
      <c r="A213" s="18"/>
      <c r="B213" s="19"/>
      <c r="C213" s="20"/>
      <c r="D213" s="21"/>
      <c r="E213" s="22"/>
      <c r="F213" s="22"/>
      <c r="G213" s="23"/>
      <c r="H213" s="23"/>
      <c r="I213" s="24"/>
      <c r="J213" s="24"/>
      <c r="K213" s="24"/>
      <c r="L213" s="23"/>
      <c r="M213" s="23"/>
      <c r="O213" s="25"/>
      <c r="P213" s="26"/>
    </row>
    <row r="214" spans="1:16" s="16" customFormat="1" x14ac:dyDescent="0.25">
      <c r="A214" s="18"/>
      <c r="B214" s="19"/>
      <c r="C214" s="20"/>
      <c r="D214" s="21"/>
      <c r="E214" s="22"/>
      <c r="F214" s="22"/>
      <c r="G214" s="23"/>
      <c r="H214" s="23"/>
      <c r="I214" s="24"/>
      <c r="J214" s="24"/>
      <c r="K214" s="24"/>
      <c r="L214" s="23"/>
      <c r="M214" s="23"/>
      <c r="O214" s="25"/>
      <c r="P214" s="26"/>
    </row>
    <row r="215" spans="1:16" s="16" customFormat="1" x14ac:dyDescent="0.25">
      <c r="A215" s="18"/>
      <c r="B215" s="19"/>
      <c r="C215" s="20"/>
      <c r="D215" s="21"/>
      <c r="E215" s="22"/>
      <c r="F215" s="22"/>
      <c r="G215" s="23"/>
      <c r="H215" s="23"/>
      <c r="I215" s="24"/>
      <c r="J215" s="24"/>
      <c r="K215" s="24"/>
      <c r="L215" s="23"/>
      <c r="M215" s="23"/>
      <c r="O215" s="25"/>
      <c r="P215" s="26"/>
    </row>
    <row r="216" spans="1:16" s="16" customFormat="1" x14ac:dyDescent="0.25">
      <c r="A216" s="18"/>
      <c r="B216" s="19"/>
      <c r="C216" s="20"/>
      <c r="D216" s="21"/>
      <c r="E216" s="22"/>
      <c r="F216" s="22"/>
      <c r="G216" s="23"/>
      <c r="H216" s="23"/>
      <c r="I216" s="24"/>
      <c r="J216" s="24"/>
      <c r="K216" s="24"/>
      <c r="L216" s="23"/>
      <c r="M216" s="23"/>
      <c r="O216" s="25"/>
      <c r="P216" s="26"/>
    </row>
    <row r="217" spans="1:16" s="16" customFormat="1" x14ac:dyDescent="0.25">
      <c r="A217" s="18"/>
      <c r="B217" s="19"/>
      <c r="C217" s="20"/>
      <c r="D217" s="21"/>
      <c r="E217" s="22"/>
      <c r="F217" s="22"/>
      <c r="G217" s="23"/>
      <c r="H217" s="23"/>
      <c r="I217" s="24"/>
      <c r="J217" s="24"/>
      <c r="K217" s="24"/>
      <c r="L217" s="23"/>
      <c r="M217" s="23"/>
      <c r="O217" s="25"/>
      <c r="P217" s="26"/>
    </row>
    <row r="218" spans="1:16" s="16" customFormat="1" x14ac:dyDescent="0.25">
      <c r="A218" s="18"/>
      <c r="B218" s="19"/>
      <c r="C218" s="20"/>
      <c r="D218" s="21"/>
      <c r="E218" s="22"/>
      <c r="F218" s="22"/>
      <c r="G218" s="23"/>
      <c r="H218" s="23"/>
      <c r="I218" s="24"/>
      <c r="J218" s="24"/>
      <c r="K218" s="24"/>
      <c r="L218" s="23"/>
      <c r="M218" s="23"/>
      <c r="O218" s="25"/>
      <c r="P218" s="26"/>
    </row>
    <row r="219" spans="1:16" s="16" customFormat="1" x14ac:dyDescent="0.25">
      <c r="A219" s="18"/>
      <c r="B219" s="19"/>
      <c r="C219" s="20"/>
      <c r="D219" s="21"/>
      <c r="E219" s="22"/>
      <c r="F219" s="22"/>
      <c r="G219" s="23"/>
      <c r="H219" s="23"/>
      <c r="I219" s="24"/>
      <c r="J219" s="24"/>
      <c r="K219" s="24"/>
      <c r="L219" s="23"/>
      <c r="M219" s="23"/>
      <c r="O219" s="25"/>
      <c r="P219" s="26"/>
    </row>
    <row r="220" spans="1:16" s="16" customFormat="1" x14ac:dyDescent="0.25">
      <c r="A220" s="18"/>
      <c r="B220" s="19"/>
      <c r="C220" s="20"/>
      <c r="D220" s="21"/>
      <c r="E220" s="22"/>
      <c r="F220" s="22"/>
      <c r="G220" s="23"/>
      <c r="H220" s="23"/>
      <c r="I220" s="24"/>
      <c r="J220" s="24"/>
      <c r="K220" s="24"/>
      <c r="L220" s="23"/>
      <c r="M220" s="23"/>
      <c r="O220" s="25"/>
      <c r="P220" s="26"/>
    </row>
    <row r="221" spans="1:16" s="16" customFormat="1" x14ac:dyDescent="0.25">
      <c r="A221" s="18"/>
      <c r="B221" s="19"/>
      <c r="C221" s="20"/>
      <c r="D221" s="21"/>
      <c r="E221" s="22"/>
      <c r="F221" s="22"/>
      <c r="G221" s="23"/>
      <c r="H221" s="23"/>
      <c r="I221" s="24"/>
      <c r="J221" s="24"/>
      <c r="K221" s="24"/>
      <c r="L221" s="23"/>
      <c r="M221" s="23"/>
      <c r="O221" s="25"/>
      <c r="P221" s="26"/>
    </row>
    <row r="222" spans="1:16" s="16" customFormat="1" x14ac:dyDescent="0.25">
      <c r="A222" s="18"/>
      <c r="B222" s="19"/>
      <c r="C222" s="20"/>
      <c r="D222" s="21"/>
      <c r="E222" s="22"/>
      <c r="F222" s="22"/>
      <c r="G222" s="23"/>
      <c r="H222" s="23"/>
      <c r="I222" s="24"/>
      <c r="J222" s="24"/>
      <c r="K222" s="24"/>
      <c r="L222" s="23"/>
      <c r="M222" s="23"/>
      <c r="O222" s="25"/>
      <c r="P222" s="26"/>
    </row>
    <row r="223" spans="1:16" s="16" customFormat="1" x14ac:dyDescent="0.25">
      <c r="A223" s="18"/>
      <c r="B223" s="19"/>
      <c r="C223" s="20"/>
      <c r="D223" s="21"/>
      <c r="E223" s="22"/>
      <c r="F223" s="22"/>
      <c r="G223" s="23"/>
      <c r="H223" s="23"/>
      <c r="I223" s="24"/>
      <c r="J223" s="24"/>
      <c r="K223" s="24"/>
      <c r="L223" s="23"/>
      <c r="M223" s="23"/>
      <c r="O223" s="25"/>
      <c r="P223" s="26"/>
    </row>
    <row r="224" spans="1:16" s="16" customFormat="1" x14ac:dyDescent="0.25">
      <c r="A224" s="18"/>
      <c r="B224" s="19"/>
      <c r="C224" s="20"/>
      <c r="D224" s="21"/>
      <c r="E224" s="22"/>
      <c r="F224" s="22"/>
      <c r="G224" s="23"/>
      <c r="H224" s="23"/>
      <c r="I224" s="24"/>
      <c r="J224" s="24"/>
      <c r="K224" s="24"/>
      <c r="L224" s="23"/>
      <c r="M224" s="23"/>
      <c r="O224" s="25"/>
      <c r="P224" s="26"/>
    </row>
    <row r="225" spans="1:16" s="16" customFormat="1" x14ac:dyDescent="0.25">
      <c r="A225" s="18"/>
      <c r="B225" s="19"/>
      <c r="C225" s="20"/>
      <c r="D225" s="21"/>
      <c r="E225" s="22"/>
      <c r="F225" s="22"/>
      <c r="G225" s="23"/>
      <c r="H225" s="23"/>
      <c r="I225" s="24"/>
      <c r="J225" s="24"/>
      <c r="K225" s="24"/>
      <c r="L225" s="23"/>
      <c r="M225" s="23"/>
      <c r="O225" s="25"/>
      <c r="P225" s="26"/>
    </row>
    <row r="226" spans="1:16" s="16" customFormat="1" x14ac:dyDescent="0.25">
      <c r="A226" s="18"/>
      <c r="B226" s="19"/>
      <c r="C226" s="20"/>
      <c r="D226" s="21"/>
      <c r="E226" s="22"/>
      <c r="F226" s="22"/>
      <c r="G226" s="23"/>
      <c r="H226" s="23"/>
      <c r="I226" s="24"/>
      <c r="J226" s="24"/>
      <c r="K226" s="24"/>
      <c r="L226" s="23"/>
      <c r="M226" s="23"/>
      <c r="O226" s="25"/>
      <c r="P226" s="26"/>
    </row>
    <row r="227" spans="1:16" s="16" customFormat="1" x14ac:dyDescent="0.25">
      <c r="A227" s="18"/>
      <c r="B227" s="19"/>
      <c r="C227" s="20"/>
      <c r="D227" s="21"/>
      <c r="E227" s="22"/>
      <c r="F227" s="22"/>
      <c r="G227" s="23"/>
      <c r="H227" s="23"/>
      <c r="I227" s="24"/>
      <c r="J227" s="24"/>
      <c r="K227" s="24"/>
      <c r="L227" s="23"/>
      <c r="M227" s="23"/>
      <c r="O227" s="25"/>
      <c r="P227" s="26"/>
    </row>
    <row r="228" spans="1:16" s="16" customFormat="1" x14ac:dyDescent="0.25">
      <c r="A228" s="18"/>
      <c r="B228" s="19"/>
      <c r="C228" s="20"/>
      <c r="D228" s="21"/>
      <c r="E228" s="22"/>
      <c r="F228" s="22"/>
      <c r="G228" s="23"/>
      <c r="H228" s="23"/>
      <c r="I228" s="24"/>
      <c r="J228" s="24"/>
      <c r="K228" s="24"/>
      <c r="L228" s="23"/>
      <c r="M228" s="23"/>
      <c r="O228" s="25"/>
      <c r="P228" s="26"/>
    </row>
    <row r="229" spans="1:16" s="16" customFormat="1" x14ac:dyDescent="0.25">
      <c r="A229" s="18"/>
      <c r="B229" s="19"/>
      <c r="C229" s="20"/>
      <c r="D229" s="21"/>
      <c r="E229" s="22"/>
      <c r="F229" s="22"/>
      <c r="G229" s="23"/>
      <c r="H229" s="23"/>
      <c r="I229" s="24"/>
      <c r="J229" s="24"/>
      <c r="K229" s="24"/>
      <c r="L229" s="23"/>
      <c r="M229" s="23"/>
      <c r="O229" s="25"/>
      <c r="P229" s="26"/>
    </row>
    <row r="230" spans="1:16" s="16" customFormat="1" x14ac:dyDescent="0.25">
      <c r="A230" s="18"/>
      <c r="B230" s="19"/>
      <c r="C230" s="20"/>
      <c r="D230" s="21"/>
      <c r="E230" s="22"/>
      <c r="F230" s="22"/>
      <c r="G230" s="23"/>
      <c r="H230" s="23"/>
      <c r="I230" s="24"/>
      <c r="J230" s="24"/>
      <c r="K230" s="24"/>
      <c r="L230" s="23"/>
      <c r="M230" s="23"/>
      <c r="O230" s="25"/>
      <c r="P230" s="26"/>
    </row>
    <row r="231" spans="1:16" s="16" customFormat="1" x14ac:dyDescent="0.25">
      <c r="A231" s="18"/>
      <c r="B231" s="19"/>
      <c r="C231" s="20"/>
      <c r="D231" s="21"/>
      <c r="E231" s="22"/>
      <c r="F231" s="22"/>
      <c r="G231" s="23"/>
      <c r="H231" s="23"/>
      <c r="I231" s="24"/>
      <c r="J231" s="24"/>
      <c r="K231" s="24"/>
      <c r="L231" s="23"/>
      <c r="M231" s="23"/>
      <c r="O231" s="25"/>
      <c r="P231" s="26"/>
    </row>
    <row r="232" spans="1:16" s="16" customFormat="1" x14ac:dyDescent="0.25">
      <c r="A232" s="18"/>
      <c r="B232" s="19"/>
      <c r="C232" s="20"/>
      <c r="D232" s="21"/>
      <c r="E232" s="22"/>
      <c r="F232" s="22"/>
      <c r="G232" s="23"/>
      <c r="H232" s="23"/>
      <c r="I232" s="24"/>
      <c r="J232" s="24"/>
      <c r="K232" s="24"/>
      <c r="L232" s="23"/>
      <c r="M232" s="23"/>
      <c r="O232" s="25"/>
      <c r="P232" s="26"/>
    </row>
    <row r="233" spans="1:16" s="16" customFormat="1" x14ac:dyDescent="0.25">
      <c r="A233" s="18"/>
      <c r="B233" s="19"/>
      <c r="C233" s="20"/>
      <c r="D233" s="21"/>
      <c r="E233" s="22"/>
      <c r="F233" s="22"/>
      <c r="G233" s="23"/>
      <c r="H233" s="23"/>
      <c r="I233" s="24"/>
      <c r="J233" s="24"/>
      <c r="K233" s="24"/>
      <c r="L233" s="23"/>
      <c r="M233" s="23"/>
      <c r="O233" s="25"/>
      <c r="P233" s="26"/>
    </row>
    <row r="234" spans="1:16" s="16" customFormat="1" x14ac:dyDescent="0.25">
      <c r="A234" s="18"/>
      <c r="B234" s="19"/>
      <c r="C234" s="20"/>
      <c r="D234" s="21"/>
      <c r="E234" s="22"/>
      <c r="F234" s="22"/>
      <c r="G234" s="23"/>
      <c r="H234" s="23"/>
      <c r="I234" s="24"/>
      <c r="J234" s="24"/>
      <c r="K234" s="24"/>
      <c r="L234" s="23"/>
      <c r="M234" s="23"/>
      <c r="O234" s="25"/>
      <c r="P234" s="26"/>
    </row>
    <row r="235" spans="1:16" s="16" customFormat="1" x14ac:dyDescent="0.25">
      <c r="A235" s="18"/>
      <c r="B235" s="19"/>
      <c r="C235" s="20"/>
      <c r="D235" s="21"/>
      <c r="E235" s="22"/>
      <c r="F235" s="22"/>
      <c r="G235" s="23"/>
      <c r="H235" s="23"/>
      <c r="I235" s="24"/>
      <c r="J235" s="24"/>
      <c r="K235" s="24"/>
      <c r="L235" s="23"/>
      <c r="M235" s="23"/>
      <c r="O235" s="25"/>
      <c r="P235" s="26"/>
    </row>
    <row r="236" spans="1:16" s="16" customFormat="1" x14ac:dyDescent="0.25">
      <c r="A236" s="18"/>
      <c r="B236" s="19"/>
      <c r="C236" s="20"/>
      <c r="D236" s="21"/>
      <c r="E236" s="22"/>
      <c r="F236" s="22"/>
      <c r="G236" s="23"/>
      <c r="H236" s="23"/>
      <c r="I236" s="24"/>
      <c r="J236" s="24"/>
      <c r="K236" s="24"/>
      <c r="L236" s="23"/>
      <c r="M236" s="23"/>
      <c r="O236" s="25"/>
      <c r="P236" s="26"/>
    </row>
    <row r="237" spans="1:16" s="16" customFormat="1" x14ac:dyDescent="0.25">
      <c r="A237" s="18"/>
      <c r="B237" s="19"/>
      <c r="C237" s="20"/>
      <c r="D237" s="21"/>
      <c r="E237" s="22"/>
      <c r="F237" s="22"/>
      <c r="G237" s="23"/>
      <c r="H237" s="23"/>
      <c r="I237" s="24"/>
      <c r="J237" s="24"/>
      <c r="K237" s="24"/>
      <c r="L237" s="23"/>
      <c r="M237" s="23"/>
      <c r="O237" s="25"/>
      <c r="P237" s="26"/>
    </row>
    <row r="238" spans="1:16" s="16" customFormat="1" x14ac:dyDescent="0.25">
      <c r="A238" s="18"/>
      <c r="B238" s="19"/>
      <c r="C238" s="20"/>
      <c r="D238" s="21"/>
      <c r="E238" s="22"/>
      <c r="F238" s="22"/>
      <c r="G238" s="23"/>
      <c r="H238" s="23"/>
      <c r="I238" s="24"/>
      <c r="J238" s="24"/>
      <c r="K238" s="24"/>
      <c r="L238" s="23"/>
      <c r="M238" s="23"/>
      <c r="O238" s="25"/>
      <c r="P238" s="26"/>
    </row>
    <row r="239" spans="1:16" s="16" customFormat="1" x14ac:dyDescent="0.25">
      <c r="A239" s="18"/>
      <c r="B239" s="19"/>
      <c r="C239" s="20"/>
      <c r="D239" s="21"/>
      <c r="E239" s="22"/>
      <c r="F239" s="22"/>
      <c r="G239" s="23"/>
      <c r="H239" s="23"/>
      <c r="I239" s="24"/>
      <c r="J239" s="24"/>
      <c r="K239" s="24"/>
      <c r="L239" s="23"/>
      <c r="M239" s="23"/>
      <c r="O239" s="25"/>
      <c r="P239" s="26"/>
    </row>
    <row r="240" spans="1:16" s="16" customFormat="1" x14ac:dyDescent="0.25">
      <c r="A240" s="18"/>
      <c r="B240" s="19"/>
      <c r="C240" s="20"/>
      <c r="D240" s="21"/>
      <c r="E240" s="22"/>
      <c r="F240" s="22"/>
      <c r="G240" s="23"/>
      <c r="H240" s="23"/>
      <c r="I240" s="24"/>
      <c r="J240" s="24"/>
      <c r="K240" s="24"/>
      <c r="L240" s="23"/>
      <c r="M240" s="23"/>
      <c r="O240" s="25"/>
      <c r="P240" s="26"/>
    </row>
    <row r="241" spans="1:16" s="16" customFormat="1" x14ac:dyDescent="0.25">
      <c r="A241" s="18"/>
      <c r="B241" s="19"/>
      <c r="C241" s="20"/>
      <c r="D241" s="21"/>
      <c r="E241" s="22"/>
      <c r="F241" s="22"/>
      <c r="G241" s="23"/>
      <c r="H241" s="23"/>
      <c r="I241" s="24"/>
      <c r="J241" s="24"/>
      <c r="K241" s="24"/>
      <c r="L241" s="23"/>
      <c r="M241" s="23"/>
      <c r="O241" s="25"/>
      <c r="P241" s="26"/>
    </row>
    <row r="242" spans="1:16" s="16" customFormat="1" x14ac:dyDescent="0.25">
      <c r="A242" s="18"/>
      <c r="B242" s="19"/>
      <c r="C242" s="20"/>
      <c r="D242" s="21"/>
      <c r="E242" s="22"/>
      <c r="F242" s="22"/>
      <c r="G242" s="23"/>
      <c r="H242" s="23"/>
      <c r="I242" s="24"/>
      <c r="J242" s="24"/>
      <c r="K242" s="24"/>
      <c r="L242" s="23"/>
      <c r="M242" s="23"/>
      <c r="O242" s="25"/>
      <c r="P242" s="26"/>
    </row>
    <row r="243" spans="1:16" s="16" customFormat="1" x14ac:dyDescent="0.25">
      <c r="A243" s="18"/>
      <c r="B243" s="19"/>
      <c r="C243" s="20"/>
      <c r="D243" s="21"/>
      <c r="E243" s="22"/>
      <c r="F243" s="22"/>
      <c r="G243" s="23"/>
      <c r="H243" s="23"/>
      <c r="I243" s="24"/>
      <c r="J243" s="24"/>
      <c r="K243" s="24"/>
      <c r="L243" s="23"/>
      <c r="M243" s="23"/>
      <c r="O243" s="25"/>
      <c r="P243" s="26"/>
    </row>
    <row r="244" spans="1:16" s="16" customFormat="1" x14ac:dyDescent="0.25">
      <c r="A244" s="18"/>
      <c r="B244" s="19"/>
      <c r="C244" s="20"/>
      <c r="D244" s="21"/>
      <c r="E244" s="22"/>
      <c r="F244" s="22"/>
      <c r="G244" s="23"/>
      <c r="H244" s="23"/>
      <c r="I244" s="24"/>
      <c r="J244" s="24"/>
      <c r="K244" s="24"/>
      <c r="L244" s="23"/>
      <c r="M244" s="23"/>
      <c r="O244" s="25"/>
      <c r="P244" s="26"/>
    </row>
    <row r="245" spans="1:16" s="16" customFormat="1" x14ac:dyDescent="0.25">
      <c r="A245" s="18"/>
      <c r="B245" s="19"/>
      <c r="C245" s="20"/>
      <c r="D245" s="21"/>
      <c r="E245" s="22"/>
      <c r="F245" s="22"/>
      <c r="G245" s="23"/>
      <c r="H245" s="23"/>
      <c r="I245" s="24"/>
      <c r="J245" s="24"/>
      <c r="K245" s="24"/>
      <c r="L245" s="23"/>
      <c r="M245" s="23"/>
      <c r="O245" s="25"/>
      <c r="P245" s="26"/>
    </row>
    <row r="246" spans="1:16" s="16" customFormat="1" x14ac:dyDescent="0.25">
      <c r="A246" s="18"/>
      <c r="B246" s="19"/>
      <c r="C246" s="20"/>
      <c r="D246" s="21"/>
      <c r="E246" s="22"/>
      <c r="F246" s="22"/>
      <c r="G246" s="23"/>
      <c r="H246" s="23"/>
      <c r="I246" s="24"/>
      <c r="J246" s="24"/>
      <c r="K246" s="24"/>
      <c r="L246" s="23"/>
      <c r="M246" s="23"/>
      <c r="O246" s="25"/>
      <c r="P246" s="26"/>
    </row>
    <row r="247" spans="1:16" s="16" customFormat="1" x14ac:dyDescent="0.25">
      <c r="A247" s="18"/>
      <c r="B247" s="19"/>
      <c r="C247" s="20"/>
      <c r="D247" s="21"/>
      <c r="E247" s="22"/>
      <c r="F247" s="22"/>
      <c r="G247" s="23"/>
      <c r="H247" s="23"/>
      <c r="I247" s="24"/>
      <c r="J247" s="24"/>
      <c r="K247" s="24"/>
      <c r="L247" s="23"/>
      <c r="M247" s="23"/>
      <c r="O247" s="25"/>
      <c r="P247" s="26"/>
    </row>
    <row r="248" spans="1:16" s="16" customFormat="1" x14ac:dyDescent="0.25">
      <c r="A248" s="18"/>
      <c r="B248" s="19"/>
      <c r="C248" s="20"/>
      <c r="D248" s="21"/>
      <c r="E248" s="22"/>
      <c r="F248" s="22"/>
      <c r="G248" s="23"/>
      <c r="H248" s="23"/>
      <c r="I248" s="24"/>
      <c r="J248" s="24"/>
      <c r="K248" s="24"/>
      <c r="L248" s="23"/>
      <c r="M248" s="23"/>
      <c r="O248" s="25"/>
      <c r="P248" s="26"/>
    </row>
    <row r="249" spans="1:16" s="16" customFormat="1" x14ac:dyDescent="0.25">
      <c r="A249" s="18"/>
      <c r="B249" s="19"/>
      <c r="C249" s="20"/>
      <c r="D249" s="21"/>
      <c r="E249" s="22"/>
      <c r="F249" s="22"/>
      <c r="G249" s="23"/>
      <c r="H249" s="23"/>
      <c r="I249" s="24"/>
      <c r="J249" s="24"/>
      <c r="K249" s="24"/>
      <c r="L249" s="23"/>
      <c r="M249" s="23"/>
      <c r="O249" s="25"/>
      <c r="P249" s="26"/>
    </row>
    <row r="250" spans="1:16" s="16" customFormat="1" x14ac:dyDescent="0.25">
      <c r="A250" s="18"/>
      <c r="B250" s="19"/>
      <c r="C250" s="20"/>
      <c r="D250" s="21"/>
      <c r="E250" s="22"/>
      <c r="F250" s="22"/>
      <c r="G250" s="23"/>
      <c r="H250" s="23"/>
      <c r="I250" s="24"/>
      <c r="J250" s="24"/>
      <c r="K250" s="24"/>
      <c r="L250" s="23"/>
      <c r="M250" s="23"/>
      <c r="O250" s="25"/>
      <c r="P250" s="26"/>
    </row>
  </sheetData>
  <autoFilter ref="A1:R78">
    <sortState ref="A2:Q81">
      <sortCondition ref="D1:D11"/>
    </sortState>
  </autoFilter>
  <conditionalFormatting sqref="N1:XFD1 A1:E1 I1:K1">
    <cfRule type="beginsWith" dxfId="26" priority="28" operator="beginsWith" text="[K_">
      <formula>LEFT(A1,LEN("[K_"))="[K_"</formula>
    </cfRule>
  </conditionalFormatting>
  <conditionalFormatting sqref="M1">
    <cfRule type="beginsWith" dxfId="25" priority="26" operator="beginsWith" text="[K_">
      <formula>LEFT(M1,LEN("[K_"))="[K_"</formula>
    </cfRule>
  </conditionalFormatting>
  <conditionalFormatting sqref="C1:C3 C251:C1048576 C71 C75 C79 C83 C87 C91 C95 C99 C103 C107 C111 C115 C119 C123 C127 C131 C135 C139 C143 C147 C151 C155 C159 C163 C167 C171 C7 C11 C15 C19 C23 C27 C31 C35 C39 C43 C47 C51 C55 C59 C63 C67">
    <cfRule type="duplicateValues" dxfId="24" priority="23"/>
  </conditionalFormatting>
  <conditionalFormatting sqref="D4">
    <cfRule type="duplicateValues" dxfId="23" priority="20"/>
  </conditionalFormatting>
  <conditionalFormatting sqref="C4 C72 C76 C80 C84 C88 C92 C96 C100 C104 C108 C112 C116 C120 C124 C128 C132 C136 C140 C144 C148 C152 C156 C160 C164 C168 C172 C8 C12 C16 C20 C24 C28 C32 C36 C40 C44 C48 C52 C56 C60 C64 C68">
    <cfRule type="duplicateValues" dxfId="22" priority="19"/>
  </conditionalFormatting>
  <conditionalFormatting sqref="D5:D6">
    <cfRule type="duplicateValues" dxfId="21" priority="17"/>
  </conditionalFormatting>
  <conditionalFormatting sqref="C5:C6 C73:C74 C77:C78 C81:C82 C85:C86 C89:C90 C93:C94 C97:C98 C101:C102 C105:C106 C109:C110 C113:C114 C117:C118 C121:C122 C125:C126 C129:C130 C133:C134 C137:C138 C141:C142 C145:C146 C149:C150 C153:C154 C157:C158 C161:C162 C165:C166 C169:C170 C173 C9:C10 C13:C14 C17:C18 C21:C22 C25:C26 C29:C30 C33:C34 C37:C38 C41:C42 C45:C46 C49:C50 C53:C54 C57:C58 C61:C62 C65:C66 C69:C70">
    <cfRule type="duplicateValues" dxfId="20" priority="16"/>
  </conditionalFormatting>
  <conditionalFormatting sqref="B3:B78 I3:K3 M3">
    <cfRule type="beginsWith" dxfId="19" priority="27" operator="beginsWith" text="[K_">
      <formula>LEFT(#REF!,LEN("[K_"))="[K_"</formula>
    </cfRule>
  </conditionalFormatting>
  <conditionalFormatting sqref="I4:K70">
    <cfRule type="beginsWith" dxfId="18" priority="21" operator="beginsWith" text="[K_">
      <formula>LEFT(#REF!,LEN("[K_"))="[K_"</formula>
    </cfRule>
  </conditionalFormatting>
  <conditionalFormatting sqref="B79:B173 I71:K173">
    <cfRule type="beginsWith" dxfId="17" priority="18" operator="beginsWith" text="[K_">
      <formula>LEFT(#REF!,LEN("[K_"))="[K_"</formula>
    </cfRule>
  </conditionalFormatting>
  <conditionalFormatting sqref="C174:C250">
    <cfRule type="duplicateValues" dxfId="16" priority="13"/>
  </conditionalFormatting>
  <conditionalFormatting sqref="B174:B250 I174:K250">
    <cfRule type="beginsWith" dxfId="15" priority="14" operator="beginsWith" text="[K_">
      <formula>LEFT(#REF!,LEN("[K_"))="[K_"</formula>
    </cfRule>
  </conditionalFormatting>
  <conditionalFormatting sqref="G1">
    <cfRule type="beginsWith" dxfId="14" priority="10" operator="beginsWith" text="[K_">
      <formula>LEFT(G1,LEN("[K_"))="[K_"</formula>
    </cfRule>
  </conditionalFormatting>
  <conditionalFormatting sqref="F1">
    <cfRule type="beginsWith" dxfId="13" priority="9" operator="beginsWith" text="[K_">
      <formula>LEFT(F1,LEN("[K_"))="[K_"</formula>
    </cfRule>
  </conditionalFormatting>
  <conditionalFormatting sqref="D107:D173 D1:D3 D7:D76 D251:D1048576">
    <cfRule type="duplicateValues" dxfId="12" priority="32"/>
  </conditionalFormatting>
  <conditionalFormatting sqref="D87:D106">
    <cfRule type="duplicateValues" dxfId="11" priority="36"/>
  </conditionalFormatting>
  <conditionalFormatting sqref="D81:D86 D77:D79">
    <cfRule type="duplicateValues" dxfId="10" priority="37"/>
  </conditionalFormatting>
  <conditionalFormatting sqref="D80">
    <cfRule type="duplicateValues" dxfId="9" priority="40"/>
  </conditionalFormatting>
  <conditionalFormatting sqref="D174:D250">
    <cfRule type="duplicateValues" dxfId="8" priority="41"/>
  </conditionalFormatting>
  <conditionalFormatting sqref="L1">
    <cfRule type="beginsWith" dxfId="5" priority="5" operator="beginsWith" text="[K_">
      <formula>LEFT(L1,LEN("[K_"))="[K_"</formula>
    </cfRule>
  </conditionalFormatting>
  <conditionalFormatting sqref="L3">
    <cfRule type="beginsWith" dxfId="4" priority="6" operator="beginsWith" text="[K_">
      <formula>LEFT(#REF!,LEN("[K_"))="[K_"</formula>
    </cfRule>
  </conditionalFormatting>
  <conditionalFormatting sqref="L4:L70">
    <cfRule type="beginsWith" dxfId="3" priority="4" operator="beginsWith" text="[K_">
      <formula>LEFT(#REF!,LEN("[K_"))="[K_"</formula>
    </cfRule>
  </conditionalFormatting>
  <conditionalFormatting sqref="L71:L78">
    <cfRule type="beginsWith" dxfId="2" priority="3" operator="beginsWith" text="[K_">
      <formula>LEFT(#REF!,LEN("[K_"))="[K_"</formula>
    </cfRule>
  </conditionalFormatting>
  <conditionalFormatting sqref="M4:M78">
    <cfRule type="beginsWith" dxfId="1" priority="2" operator="beginsWith" text="[K_">
      <formula>LEFT(#REF!,LEN("[K_"))="[K_"</formula>
    </cfRule>
  </conditionalFormatting>
  <conditionalFormatting sqref="H1">
    <cfRule type="beginsWith" dxfId="0" priority="1" operator="beginsWith" text="[K_">
      <formula>LEFT(H1,LEN("[K_"))="[K_"</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opLeftCell="A49" workbookViewId="0">
      <selection activeCell="A2" sqref="A2:I77"/>
    </sheetView>
  </sheetViews>
  <sheetFormatPr defaultRowHeight="15" x14ac:dyDescent="0.25"/>
  <cols>
    <col min="1" max="1" width="17.85546875" bestFit="1" customWidth="1"/>
    <col min="2" max="2" width="18" bestFit="1" customWidth="1"/>
  </cols>
  <sheetData>
    <row r="1" spans="1:9" x14ac:dyDescent="0.25">
      <c r="A1" t="s">
        <v>0</v>
      </c>
      <c r="B1" t="s">
        <v>1</v>
      </c>
      <c r="C1" t="s">
        <v>2</v>
      </c>
      <c r="D1" t="s">
        <v>3</v>
      </c>
      <c r="E1" t="s">
        <v>4</v>
      </c>
      <c r="F1" t="s">
        <v>5</v>
      </c>
      <c r="G1" t="s">
        <v>6</v>
      </c>
      <c r="H1" t="s">
        <v>7</v>
      </c>
      <c r="I1" t="s">
        <v>8</v>
      </c>
    </row>
    <row r="2" spans="1:9" x14ac:dyDescent="0.25">
      <c r="A2">
        <v>41</v>
      </c>
      <c r="B2" t="s">
        <v>9</v>
      </c>
      <c r="C2" t="s">
        <v>10</v>
      </c>
      <c r="D2" t="s">
        <v>11</v>
      </c>
      <c r="E2" t="s">
        <v>12</v>
      </c>
      <c r="F2" t="s">
        <v>13</v>
      </c>
      <c r="G2">
        <v>6142</v>
      </c>
      <c r="I2">
        <v>1</v>
      </c>
    </row>
    <row r="3" spans="1:9" x14ac:dyDescent="0.25">
      <c r="A3">
        <v>42</v>
      </c>
      <c r="B3" t="s">
        <v>14</v>
      </c>
      <c r="C3">
        <v>12340</v>
      </c>
      <c r="D3" t="s">
        <v>15</v>
      </c>
      <c r="E3" t="s">
        <v>16</v>
      </c>
      <c r="F3" t="s">
        <v>13</v>
      </c>
      <c r="G3">
        <v>181</v>
      </c>
      <c r="I3">
        <v>1</v>
      </c>
    </row>
    <row r="4" spans="1:9" x14ac:dyDescent="0.25">
      <c r="A4">
        <v>43</v>
      </c>
      <c r="B4" t="s">
        <v>17</v>
      </c>
      <c r="C4" t="s">
        <v>18</v>
      </c>
      <c r="D4" t="s">
        <v>19</v>
      </c>
      <c r="E4" t="s">
        <v>20</v>
      </c>
      <c r="F4" t="s">
        <v>21</v>
      </c>
      <c r="G4">
        <v>52</v>
      </c>
      <c r="I4">
        <v>1</v>
      </c>
    </row>
    <row r="5" spans="1:9" x14ac:dyDescent="0.25">
      <c r="A5">
        <v>44</v>
      </c>
      <c r="B5" t="s">
        <v>22</v>
      </c>
      <c r="C5" t="s">
        <v>23</v>
      </c>
      <c r="D5" t="s">
        <v>24</v>
      </c>
      <c r="E5" t="s">
        <v>25</v>
      </c>
      <c r="F5" t="s">
        <v>21</v>
      </c>
      <c r="G5">
        <v>22</v>
      </c>
      <c r="I5">
        <v>1</v>
      </c>
    </row>
    <row r="6" spans="1:9" x14ac:dyDescent="0.25">
      <c r="A6">
        <v>45</v>
      </c>
      <c r="B6" t="s">
        <v>26</v>
      </c>
      <c r="C6" t="s">
        <v>27</v>
      </c>
      <c r="D6" t="s">
        <v>28</v>
      </c>
      <c r="E6" t="s">
        <v>25</v>
      </c>
      <c r="F6" t="s">
        <v>13</v>
      </c>
      <c r="G6">
        <v>999</v>
      </c>
      <c r="I6">
        <v>1</v>
      </c>
    </row>
    <row r="7" spans="1:9" x14ac:dyDescent="0.25">
      <c r="A7">
        <v>47</v>
      </c>
      <c r="B7" t="s">
        <v>29</v>
      </c>
      <c r="C7" t="s">
        <v>30</v>
      </c>
      <c r="D7" t="s">
        <v>31</v>
      </c>
      <c r="E7" t="s">
        <v>16</v>
      </c>
      <c r="F7" t="s">
        <v>21</v>
      </c>
      <c r="G7">
        <v>1299</v>
      </c>
      <c r="I7">
        <v>1</v>
      </c>
    </row>
    <row r="8" spans="1:9" x14ac:dyDescent="0.25">
      <c r="A8">
        <v>48</v>
      </c>
      <c r="B8" t="s">
        <v>32</v>
      </c>
      <c r="C8">
        <v>5623</v>
      </c>
      <c r="D8" t="s">
        <v>33</v>
      </c>
      <c r="E8" t="s">
        <v>34</v>
      </c>
      <c r="F8" t="s">
        <v>35</v>
      </c>
      <c r="G8">
        <v>2091</v>
      </c>
      <c r="I8">
        <v>1</v>
      </c>
    </row>
    <row r="9" spans="1:9" x14ac:dyDescent="0.25">
      <c r="A9">
        <v>49</v>
      </c>
      <c r="B9" t="s">
        <v>36</v>
      </c>
      <c r="C9">
        <v>7890</v>
      </c>
      <c r="D9" t="s">
        <v>37</v>
      </c>
      <c r="E9" t="s">
        <v>34</v>
      </c>
      <c r="F9" t="s">
        <v>38</v>
      </c>
      <c r="G9">
        <v>10901</v>
      </c>
      <c r="I9">
        <v>1</v>
      </c>
    </row>
    <row r="10" spans="1:9" x14ac:dyDescent="0.25">
      <c r="A10">
        <v>51</v>
      </c>
      <c r="B10" t="s">
        <v>39</v>
      </c>
      <c r="C10">
        <v>12345</v>
      </c>
      <c r="D10" t="s">
        <v>40</v>
      </c>
      <c r="E10" t="s">
        <v>34</v>
      </c>
      <c r="F10" t="s">
        <v>35</v>
      </c>
      <c r="G10">
        <v>0</v>
      </c>
      <c r="I10">
        <v>1</v>
      </c>
    </row>
    <row r="11" spans="1:9" x14ac:dyDescent="0.25">
      <c r="A11">
        <v>52</v>
      </c>
      <c r="B11" t="s">
        <v>41</v>
      </c>
      <c r="C11">
        <v>12340</v>
      </c>
      <c r="D11" t="s">
        <v>40</v>
      </c>
      <c r="E11" t="s">
        <v>34</v>
      </c>
      <c r="F11" t="s">
        <v>42</v>
      </c>
      <c r="G11">
        <v>0</v>
      </c>
      <c r="I11">
        <v>1</v>
      </c>
    </row>
    <row r="12" spans="1:9" x14ac:dyDescent="0.25">
      <c r="A12">
        <v>54</v>
      </c>
      <c r="B12" t="s">
        <v>43</v>
      </c>
      <c r="C12" t="s">
        <v>44</v>
      </c>
      <c r="D12" t="s">
        <v>45</v>
      </c>
      <c r="E12" t="s">
        <v>25</v>
      </c>
      <c r="F12" t="s">
        <v>13</v>
      </c>
      <c r="G12">
        <v>6898</v>
      </c>
      <c r="I12">
        <v>1</v>
      </c>
    </row>
    <row r="13" spans="1:9" x14ac:dyDescent="0.25">
      <c r="A13">
        <v>56</v>
      </c>
      <c r="B13" t="s">
        <v>46</v>
      </c>
      <c r="C13" t="s">
        <v>47</v>
      </c>
      <c r="D13" t="s">
        <v>48</v>
      </c>
      <c r="E13" t="s">
        <v>20</v>
      </c>
      <c r="F13" t="s">
        <v>21</v>
      </c>
      <c r="G13">
        <v>4475</v>
      </c>
      <c r="I13">
        <v>1</v>
      </c>
    </row>
    <row r="14" spans="1:9" x14ac:dyDescent="0.25">
      <c r="A14">
        <v>57</v>
      </c>
      <c r="B14" t="s">
        <v>49</v>
      </c>
      <c r="C14" t="s">
        <v>50</v>
      </c>
      <c r="D14" t="s">
        <v>51</v>
      </c>
      <c r="E14" t="s">
        <v>34</v>
      </c>
      <c r="F14" t="s">
        <v>21</v>
      </c>
      <c r="G14">
        <v>7658</v>
      </c>
      <c r="I14">
        <v>1</v>
      </c>
    </row>
    <row r="15" spans="1:9" x14ac:dyDescent="0.25">
      <c r="A15">
        <v>58</v>
      </c>
      <c r="B15" t="s">
        <v>52</v>
      </c>
      <c r="C15">
        <v>1604</v>
      </c>
      <c r="D15" t="s">
        <v>53</v>
      </c>
      <c r="E15" t="s">
        <v>34</v>
      </c>
      <c r="F15" t="s">
        <v>21</v>
      </c>
      <c r="G15">
        <v>10151</v>
      </c>
      <c r="I15">
        <v>1</v>
      </c>
    </row>
    <row r="16" spans="1:9" x14ac:dyDescent="0.25">
      <c r="A16">
        <v>59</v>
      </c>
      <c r="B16" t="s">
        <v>54</v>
      </c>
      <c r="C16" t="s">
        <v>55</v>
      </c>
      <c r="D16" t="s">
        <v>56</v>
      </c>
      <c r="E16" t="s">
        <v>34</v>
      </c>
      <c r="F16" t="s">
        <v>21</v>
      </c>
      <c r="G16">
        <v>6176</v>
      </c>
      <c r="I16">
        <v>1</v>
      </c>
    </row>
    <row r="17" spans="1:9" x14ac:dyDescent="0.25">
      <c r="A17">
        <v>60</v>
      </c>
      <c r="B17" t="s">
        <v>57</v>
      </c>
      <c r="C17" t="s">
        <v>58</v>
      </c>
      <c r="D17" t="s">
        <v>59</v>
      </c>
      <c r="E17" t="s">
        <v>34</v>
      </c>
      <c r="F17" t="s">
        <v>21</v>
      </c>
      <c r="G17">
        <v>67</v>
      </c>
      <c r="I17">
        <v>1</v>
      </c>
    </row>
    <row r="18" spans="1:9" x14ac:dyDescent="0.25">
      <c r="A18">
        <v>62</v>
      </c>
      <c r="B18" t="s">
        <v>60</v>
      </c>
      <c r="C18" t="s">
        <v>61</v>
      </c>
      <c r="D18" t="s">
        <v>62</v>
      </c>
      <c r="E18" t="s">
        <v>34</v>
      </c>
      <c r="F18" t="s">
        <v>21</v>
      </c>
      <c r="G18">
        <v>7945</v>
      </c>
      <c r="I18">
        <v>1</v>
      </c>
    </row>
    <row r="19" spans="1:9" x14ac:dyDescent="0.25">
      <c r="A19">
        <v>63</v>
      </c>
      <c r="B19" t="s">
        <v>63</v>
      </c>
      <c r="C19" t="s">
        <v>64</v>
      </c>
      <c r="D19" t="s">
        <v>65</v>
      </c>
      <c r="E19" t="s">
        <v>25</v>
      </c>
      <c r="F19" t="s">
        <v>35</v>
      </c>
      <c r="G19">
        <v>0</v>
      </c>
      <c r="H19" t="s">
        <v>66</v>
      </c>
      <c r="I19">
        <v>1</v>
      </c>
    </row>
    <row r="20" spans="1:9" x14ac:dyDescent="0.25">
      <c r="A20">
        <v>64</v>
      </c>
      <c r="B20" t="s">
        <v>67</v>
      </c>
      <c r="C20">
        <v>12340</v>
      </c>
      <c r="D20" t="s">
        <v>68</v>
      </c>
      <c r="E20" t="s">
        <v>69</v>
      </c>
      <c r="F20" t="s">
        <v>13</v>
      </c>
      <c r="G20">
        <v>7549</v>
      </c>
      <c r="I20">
        <v>1</v>
      </c>
    </row>
    <row r="21" spans="1:9" x14ac:dyDescent="0.25">
      <c r="A21">
        <v>66</v>
      </c>
      <c r="B21" t="s">
        <v>70</v>
      </c>
      <c r="C21">
        <v>200816</v>
      </c>
      <c r="D21" t="s">
        <v>71</v>
      </c>
      <c r="E21" t="s">
        <v>34</v>
      </c>
      <c r="F21" t="s">
        <v>13</v>
      </c>
      <c r="G21">
        <v>10382</v>
      </c>
      <c r="I21">
        <v>1</v>
      </c>
    </row>
    <row r="22" spans="1:9" x14ac:dyDescent="0.25">
      <c r="A22">
        <v>67</v>
      </c>
      <c r="B22" t="s">
        <v>72</v>
      </c>
      <c r="C22">
        <v>12345</v>
      </c>
      <c r="D22" t="s">
        <v>73</v>
      </c>
      <c r="E22" t="s">
        <v>69</v>
      </c>
      <c r="F22" t="s">
        <v>42</v>
      </c>
      <c r="G22">
        <v>5628</v>
      </c>
      <c r="I22">
        <v>1</v>
      </c>
    </row>
    <row r="23" spans="1:9" x14ac:dyDescent="0.25">
      <c r="A23">
        <v>68</v>
      </c>
      <c r="B23" t="s">
        <v>74</v>
      </c>
      <c r="C23">
        <v>2878</v>
      </c>
      <c r="D23" t="s">
        <v>75</v>
      </c>
      <c r="E23" t="s">
        <v>69</v>
      </c>
      <c r="F23" t="s">
        <v>21</v>
      </c>
      <c r="G23">
        <v>7041</v>
      </c>
      <c r="I23">
        <v>1</v>
      </c>
    </row>
    <row r="24" spans="1:9" x14ac:dyDescent="0.25">
      <c r="A24">
        <v>69</v>
      </c>
      <c r="B24" t="s">
        <v>76</v>
      </c>
      <c r="C24">
        <v>12345</v>
      </c>
      <c r="D24" t="s">
        <v>77</v>
      </c>
      <c r="E24" t="s">
        <v>34</v>
      </c>
      <c r="F24" t="s">
        <v>21</v>
      </c>
      <c r="G24">
        <v>4158</v>
      </c>
      <c r="I24">
        <v>1</v>
      </c>
    </row>
    <row r="25" spans="1:9" x14ac:dyDescent="0.25">
      <c r="A25">
        <v>70</v>
      </c>
      <c r="B25" t="s">
        <v>78</v>
      </c>
      <c r="C25" t="s">
        <v>79</v>
      </c>
      <c r="D25" t="s">
        <v>80</v>
      </c>
      <c r="E25" t="s">
        <v>25</v>
      </c>
      <c r="F25" t="s">
        <v>13</v>
      </c>
      <c r="G25">
        <v>8464</v>
      </c>
      <c r="I25">
        <v>1</v>
      </c>
    </row>
    <row r="26" spans="1:9" x14ac:dyDescent="0.25">
      <c r="A26">
        <v>71</v>
      </c>
      <c r="B26" t="s">
        <v>81</v>
      </c>
      <c r="C26" t="s">
        <v>82</v>
      </c>
      <c r="D26" t="s">
        <v>83</v>
      </c>
      <c r="E26" t="s">
        <v>34</v>
      </c>
      <c r="F26" t="s">
        <v>21</v>
      </c>
      <c r="G26">
        <v>0</v>
      </c>
      <c r="I26">
        <v>1</v>
      </c>
    </row>
    <row r="27" spans="1:9" x14ac:dyDescent="0.25">
      <c r="A27">
        <v>72</v>
      </c>
      <c r="B27" t="s">
        <v>84</v>
      </c>
      <c r="C27">
        <v>123789</v>
      </c>
      <c r="D27" t="s">
        <v>53</v>
      </c>
      <c r="E27" t="s">
        <v>25</v>
      </c>
      <c r="F27" t="s">
        <v>42</v>
      </c>
      <c r="G27">
        <v>11879</v>
      </c>
      <c r="I27">
        <v>1</v>
      </c>
    </row>
    <row r="28" spans="1:9" x14ac:dyDescent="0.25">
      <c r="A28">
        <v>73</v>
      </c>
      <c r="B28" t="s">
        <v>85</v>
      </c>
      <c r="C28">
        <v>1234</v>
      </c>
      <c r="D28" t="s">
        <v>86</v>
      </c>
      <c r="E28" t="s">
        <v>69</v>
      </c>
      <c r="F28" t="s">
        <v>21</v>
      </c>
      <c r="G28">
        <v>0</v>
      </c>
      <c r="I28">
        <v>1</v>
      </c>
    </row>
    <row r="29" spans="1:9" x14ac:dyDescent="0.25">
      <c r="A29">
        <v>75</v>
      </c>
      <c r="B29" t="s">
        <v>87</v>
      </c>
      <c r="C29">
        <v>102</v>
      </c>
      <c r="D29" t="s">
        <v>88</v>
      </c>
      <c r="E29" t="s">
        <v>34</v>
      </c>
      <c r="F29" t="s">
        <v>89</v>
      </c>
      <c r="G29">
        <v>12769</v>
      </c>
      <c r="I29">
        <v>1</v>
      </c>
    </row>
    <row r="30" spans="1:9" x14ac:dyDescent="0.25">
      <c r="A30">
        <v>77</v>
      </c>
      <c r="B30" t="s">
        <v>90</v>
      </c>
      <c r="C30">
        <v>12345</v>
      </c>
      <c r="D30" t="s">
        <v>56</v>
      </c>
      <c r="E30" t="s">
        <v>34</v>
      </c>
      <c r="F30" t="s">
        <v>21</v>
      </c>
      <c r="G30">
        <v>4880</v>
      </c>
      <c r="I30">
        <v>1</v>
      </c>
    </row>
    <row r="31" spans="1:9" x14ac:dyDescent="0.25">
      <c r="A31">
        <v>82</v>
      </c>
      <c r="B31" t="s">
        <v>91</v>
      </c>
      <c r="C31">
        <v>2697</v>
      </c>
      <c r="D31" t="s">
        <v>92</v>
      </c>
      <c r="E31" t="s">
        <v>34</v>
      </c>
      <c r="F31" t="s">
        <v>21</v>
      </c>
      <c r="G31">
        <v>10054</v>
      </c>
      <c r="I31">
        <v>1</v>
      </c>
    </row>
    <row r="32" spans="1:9" x14ac:dyDescent="0.25">
      <c r="A32">
        <v>83</v>
      </c>
      <c r="B32" t="s">
        <v>93</v>
      </c>
      <c r="C32">
        <v>1986</v>
      </c>
      <c r="D32" t="s">
        <v>92</v>
      </c>
      <c r="E32" t="s">
        <v>34</v>
      </c>
      <c r="F32" t="s">
        <v>13</v>
      </c>
      <c r="G32">
        <v>0</v>
      </c>
      <c r="H32" t="s">
        <v>94</v>
      </c>
      <c r="I32">
        <v>1</v>
      </c>
    </row>
    <row r="33" spans="1:9" x14ac:dyDescent="0.25">
      <c r="A33">
        <v>86</v>
      </c>
      <c r="B33" t="s">
        <v>95</v>
      </c>
      <c r="C33" t="s">
        <v>96</v>
      </c>
      <c r="D33" t="s">
        <v>97</v>
      </c>
      <c r="E33" t="s">
        <v>34</v>
      </c>
      <c r="F33" t="s">
        <v>21</v>
      </c>
      <c r="G33">
        <v>3589</v>
      </c>
      <c r="I33">
        <v>1</v>
      </c>
    </row>
    <row r="34" spans="1:9" x14ac:dyDescent="0.25">
      <c r="A34">
        <v>87</v>
      </c>
      <c r="B34" t="s">
        <v>98</v>
      </c>
      <c r="C34" t="s">
        <v>99</v>
      </c>
      <c r="D34" t="s">
        <v>71</v>
      </c>
      <c r="E34" t="s">
        <v>25</v>
      </c>
      <c r="F34" t="s">
        <v>13</v>
      </c>
      <c r="G34">
        <v>10221</v>
      </c>
      <c r="I34">
        <v>1</v>
      </c>
    </row>
    <row r="35" spans="1:9" x14ac:dyDescent="0.25">
      <c r="A35">
        <v>88</v>
      </c>
      <c r="B35" t="s">
        <v>100</v>
      </c>
      <c r="C35" t="s">
        <v>101</v>
      </c>
      <c r="D35" t="s">
        <v>102</v>
      </c>
      <c r="E35" t="s">
        <v>12</v>
      </c>
      <c r="F35" t="s">
        <v>13</v>
      </c>
      <c r="G35">
        <v>0</v>
      </c>
      <c r="I35">
        <v>1</v>
      </c>
    </row>
    <row r="36" spans="1:9" x14ac:dyDescent="0.25">
      <c r="A36">
        <v>89</v>
      </c>
      <c r="B36" t="s">
        <v>103</v>
      </c>
      <c r="C36">
        <v>123450</v>
      </c>
      <c r="D36" t="s">
        <v>104</v>
      </c>
      <c r="E36" t="s">
        <v>16</v>
      </c>
      <c r="F36" t="s">
        <v>21</v>
      </c>
      <c r="G36">
        <v>8242</v>
      </c>
      <c r="I36">
        <v>1</v>
      </c>
    </row>
    <row r="37" spans="1:9" x14ac:dyDescent="0.25">
      <c r="A37">
        <v>90</v>
      </c>
      <c r="B37" t="s">
        <v>105</v>
      </c>
      <c r="C37">
        <v>1726</v>
      </c>
      <c r="D37" t="s">
        <v>71</v>
      </c>
      <c r="E37" t="s">
        <v>34</v>
      </c>
      <c r="F37" t="s">
        <v>106</v>
      </c>
      <c r="G37">
        <v>10209</v>
      </c>
      <c r="I37">
        <v>1</v>
      </c>
    </row>
    <row r="38" spans="1:9" x14ac:dyDescent="0.25">
      <c r="A38">
        <v>92</v>
      </c>
      <c r="B38" t="s">
        <v>107</v>
      </c>
      <c r="C38" t="s">
        <v>108</v>
      </c>
      <c r="D38" t="s">
        <v>109</v>
      </c>
      <c r="E38" t="s">
        <v>34</v>
      </c>
      <c r="F38" t="s">
        <v>35</v>
      </c>
      <c r="G38">
        <v>13253</v>
      </c>
      <c r="I38">
        <v>1</v>
      </c>
    </row>
    <row r="39" spans="1:9" x14ac:dyDescent="0.25">
      <c r="A39">
        <v>93</v>
      </c>
      <c r="B39" t="s">
        <v>110</v>
      </c>
      <c r="C39">
        <v>12345</v>
      </c>
      <c r="D39" t="s">
        <v>111</v>
      </c>
      <c r="E39" t="s">
        <v>69</v>
      </c>
      <c r="F39" t="s">
        <v>38</v>
      </c>
      <c r="G39">
        <v>0</v>
      </c>
      <c r="H39" t="s">
        <v>112</v>
      </c>
      <c r="I39">
        <v>1</v>
      </c>
    </row>
    <row r="40" spans="1:9" x14ac:dyDescent="0.25">
      <c r="A40">
        <v>94</v>
      </c>
      <c r="B40" t="s">
        <v>113</v>
      </c>
      <c r="C40" t="s">
        <v>114</v>
      </c>
      <c r="D40" t="s">
        <v>53</v>
      </c>
      <c r="E40" t="s">
        <v>34</v>
      </c>
      <c r="F40" t="s">
        <v>35</v>
      </c>
      <c r="G40">
        <v>13189</v>
      </c>
      <c r="I40">
        <v>1</v>
      </c>
    </row>
    <row r="41" spans="1:9" x14ac:dyDescent="0.25">
      <c r="A41">
        <v>96</v>
      </c>
      <c r="B41" t="s">
        <v>115</v>
      </c>
      <c r="C41">
        <v>12345</v>
      </c>
      <c r="D41" t="s">
        <v>116</v>
      </c>
      <c r="E41" t="s">
        <v>34</v>
      </c>
      <c r="F41" t="s">
        <v>35</v>
      </c>
      <c r="G41">
        <v>13005</v>
      </c>
      <c r="I41">
        <v>1</v>
      </c>
    </row>
    <row r="42" spans="1:9" x14ac:dyDescent="0.25">
      <c r="A42">
        <v>97</v>
      </c>
      <c r="B42" t="s">
        <v>117</v>
      </c>
      <c r="C42">
        <v>1234</v>
      </c>
      <c r="D42" t="s">
        <v>118</v>
      </c>
      <c r="E42" t="s">
        <v>119</v>
      </c>
      <c r="F42" t="s">
        <v>35</v>
      </c>
      <c r="G42">
        <v>0</v>
      </c>
      <c r="H42" t="s">
        <v>120</v>
      </c>
      <c r="I42">
        <v>1</v>
      </c>
    </row>
    <row r="43" spans="1:9" x14ac:dyDescent="0.25">
      <c r="A43">
        <v>98</v>
      </c>
      <c r="B43" t="s">
        <v>121</v>
      </c>
      <c r="C43">
        <v>7410</v>
      </c>
      <c r="D43" t="s">
        <v>71</v>
      </c>
      <c r="E43" t="s">
        <v>34</v>
      </c>
      <c r="F43" t="s">
        <v>13</v>
      </c>
      <c r="G43">
        <v>10569</v>
      </c>
      <c r="I43">
        <v>1</v>
      </c>
    </row>
    <row r="44" spans="1:9" x14ac:dyDescent="0.25">
      <c r="A44">
        <v>101</v>
      </c>
      <c r="B44" t="s">
        <v>122</v>
      </c>
      <c r="C44">
        <v>193105</v>
      </c>
      <c r="D44" t="s">
        <v>53</v>
      </c>
      <c r="E44" t="s">
        <v>16</v>
      </c>
      <c r="F44" t="s">
        <v>13</v>
      </c>
      <c r="G44">
        <v>0</v>
      </c>
      <c r="H44" t="s">
        <v>123</v>
      </c>
      <c r="I44">
        <v>1</v>
      </c>
    </row>
    <row r="45" spans="1:9" x14ac:dyDescent="0.25">
      <c r="A45">
        <v>102</v>
      </c>
      <c r="B45" t="s">
        <v>124</v>
      </c>
      <c r="C45">
        <v>12345</v>
      </c>
      <c r="D45" t="s">
        <v>53</v>
      </c>
      <c r="E45" t="s">
        <v>16</v>
      </c>
      <c r="F45" t="s">
        <v>21</v>
      </c>
      <c r="G45">
        <v>10222</v>
      </c>
      <c r="I45">
        <v>1</v>
      </c>
    </row>
    <row r="46" spans="1:9" x14ac:dyDescent="0.25">
      <c r="A46">
        <v>103</v>
      </c>
      <c r="B46" t="s">
        <v>125</v>
      </c>
      <c r="C46" t="s">
        <v>126</v>
      </c>
      <c r="D46" t="s">
        <v>127</v>
      </c>
      <c r="E46" t="s">
        <v>34</v>
      </c>
      <c r="F46" t="s">
        <v>21</v>
      </c>
      <c r="G46">
        <v>0</v>
      </c>
      <c r="I46">
        <v>1</v>
      </c>
    </row>
    <row r="47" spans="1:9" x14ac:dyDescent="0.25">
      <c r="A47">
        <v>108</v>
      </c>
      <c r="B47" t="s">
        <v>128</v>
      </c>
      <c r="C47" t="s">
        <v>129</v>
      </c>
      <c r="D47" t="s">
        <v>130</v>
      </c>
      <c r="E47" t="s">
        <v>119</v>
      </c>
      <c r="F47" t="s">
        <v>21</v>
      </c>
      <c r="G47">
        <v>5913</v>
      </c>
      <c r="I47">
        <v>1</v>
      </c>
    </row>
    <row r="48" spans="1:9" x14ac:dyDescent="0.25">
      <c r="A48">
        <v>109</v>
      </c>
      <c r="B48" t="s">
        <v>131</v>
      </c>
      <c r="C48">
        <v>1234</v>
      </c>
      <c r="D48" t="s">
        <v>132</v>
      </c>
      <c r="E48" t="s">
        <v>119</v>
      </c>
      <c r="F48" t="s">
        <v>13</v>
      </c>
      <c r="G48">
        <v>11258</v>
      </c>
      <c r="I48">
        <v>1</v>
      </c>
    </row>
    <row r="49" spans="1:9" x14ac:dyDescent="0.25">
      <c r="A49">
        <v>110</v>
      </c>
      <c r="B49" t="s">
        <v>133</v>
      </c>
      <c r="C49">
        <v>1234</v>
      </c>
      <c r="D49" t="s">
        <v>134</v>
      </c>
      <c r="E49" t="s">
        <v>119</v>
      </c>
      <c r="F49" t="s">
        <v>42</v>
      </c>
      <c r="G49">
        <v>0</v>
      </c>
      <c r="H49" t="s">
        <v>135</v>
      </c>
      <c r="I49">
        <v>1</v>
      </c>
    </row>
    <row r="50" spans="1:9" x14ac:dyDescent="0.25">
      <c r="A50">
        <v>111</v>
      </c>
      <c r="B50" t="s">
        <v>136</v>
      </c>
      <c r="C50">
        <v>12345</v>
      </c>
      <c r="D50" t="s">
        <v>137</v>
      </c>
      <c r="E50" t="s">
        <v>34</v>
      </c>
      <c r="F50" t="s">
        <v>38</v>
      </c>
      <c r="G50">
        <v>11476</v>
      </c>
      <c r="I50">
        <v>1</v>
      </c>
    </row>
    <row r="51" spans="1:9" x14ac:dyDescent="0.25">
      <c r="A51">
        <v>112</v>
      </c>
      <c r="B51" t="s">
        <v>138</v>
      </c>
      <c r="C51">
        <v>123</v>
      </c>
      <c r="D51" t="s">
        <v>53</v>
      </c>
      <c r="E51" t="s">
        <v>34</v>
      </c>
      <c r="F51" t="s">
        <v>139</v>
      </c>
      <c r="G51">
        <v>0</v>
      </c>
      <c r="H51" t="s">
        <v>140</v>
      </c>
      <c r="I51">
        <v>1</v>
      </c>
    </row>
    <row r="52" spans="1:9" x14ac:dyDescent="0.25">
      <c r="A52">
        <v>113</v>
      </c>
      <c r="B52" t="s">
        <v>141</v>
      </c>
      <c r="C52" t="s">
        <v>142</v>
      </c>
      <c r="D52" t="s">
        <v>143</v>
      </c>
      <c r="E52" t="s">
        <v>20</v>
      </c>
      <c r="F52" t="s">
        <v>144</v>
      </c>
      <c r="G52">
        <v>0</v>
      </c>
      <c r="H52" t="s">
        <v>145</v>
      </c>
      <c r="I52">
        <v>1</v>
      </c>
    </row>
    <row r="53" spans="1:9" x14ac:dyDescent="0.25">
      <c r="A53">
        <v>114</v>
      </c>
      <c r="B53" t="s">
        <v>146</v>
      </c>
      <c r="C53" t="s">
        <v>129</v>
      </c>
      <c r="D53" t="s">
        <v>147</v>
      </c>
      <c r="E53" t="s">
        <v>25</v>
      </c>
      <c r="F53" t="s">
        <v>89</v>
      </c>
      <c r="G53">
        <v>0</v>
      </c>
      <c r="H53" t="s">
        <v>148</v>
      </c>
      <c r="I53">
        <v>1</v>
      </c>
    </row>
    <row r="54" spans="1:9" x14ac:dyDescent="0.25">
      <c r="A54">
        <v>115</v>
      </c>
      <c r="B54" t="s">
        <v>149</v>
      </c>
      <c r="C54">
        <v>12340</v>
      </c>
      <c r="D54" t="s">
        <v>150</v>
      </c>
      <c r="E54" t="s">
        <v>34</v>
      </c>
      <c r="F54" t="s">
        <v>21</v>
      </c>
      <c r="G54">
        <v>515</v>
      </c>
      <c r="I54">
        <v>1</v>
      </c>
    </row>
    <row r="55" spans="1:9" x14ac:dyDescent="0.25">
      <c r="A55">
        <v>116</v>
      </c>
      <c r="B55" t="s">
        <v>151</v>
      </c>
      <c r="C55" t="s">
        <v>129</v>
      </c>
      <c r="D55" t="s">
        <v>53</v>
      </c>
      <c r="E55" t="s">
        <v>34</v>
      </c>
      <c r="F55" t="s">
        <v>35</v>
      </c>
      <c r="G55">
        <v>11834</v>
      </c>
      <c r="I55">
        <v>1</v>
      </c>
    </row>
    <row r="56" spans="1:9" x14ac:dyDescent="0.25">
      <c r="A56">
        <v>120</v>
      </c>
      <c r="B56" t="s">
        <v>152</v>
      </c>
      <c r="C56" t="s">
        <v>153</v>
      </c>
      <c r="D56" t="s">
        <v>53</v>
      </c>
      <c r="E56" t="s">
        <v>34</v>
      </c>
      <c r="F56" t="s">
        <v>89</v>
      </c>
      <c r="G56">
        <v>11716</v>
      </c>
      <c r="I56">
        <v>1</v>
      </c>
    </row>
    <row r="57" spans="1:9" x14ac:dyDescent="0.25">
      <c r="A57">
        <v>121</v>
      </c>
      <c r="B57" t="s">
        <v>154</v>
      </c>
      <c r="C57">
        <v>12340</v>
      </c>
      <c r="D57" t="s">
        <v>155</v>
      </c>
      <c r="E57" t="s">
        <v>34</v>
      </c>
      <c r="F57" t="s">
        <v>21</v>
      </c>
      <c r="G57">
        <v>7283</v>
      </c>
      <c r="I57">
        <v>1</v>
      </c>
    </row>
    <row r="58" spans="1:9" x14ac:dyDescent="0.25">
      <c r="A58">
        <v>122</v>
      </c>
      <c r="B58" t="s">
        <v>156</v>
      </c>
      <c r="C58">
        <v>12340</v>
      </c>
      <c r="D58" t="s">
        <v>157</v>
      </c>
      <c r="E58" t="s">
        <v>34</v>
      </c>
      <c r="F58" t="s">
        <v>13</v>
      </c>
      <c r="G58">
        <v>0</v>
      </c>
      <c r="H58" t="s">
        <v>158</v>
      </c>
      <c r="I58">
        <v>1</v>
      </c>
    </row>
    <row r="59" spans="1:9" x14ac:dyDescent="0.25">
      <c r="A59">
        <v>123</v>
      </c>
      <c r="B59" t="s">
        <v>159</v>
      </c>
      <c r="C59">
        <v>1234</v>
      </c>
      <c r="D59" t="s">
        <v>160</v>
      </c>
      <c r="E59" t="s">
        <v>34</v>
      </c>
      <c r="F59" t="s">
        <v>13</v>
      </c>
      <c r="G59">
        <v>11524</v>
      </c>
      <c r="I59">
        <v>1</v>
      </c>
    </row>
    <row r="60" spans="1:9" x14ac:dyDescent="0.25">
      <c r="A60">
        <v>125</v>
      </c>
      <c r="B60" t="s">
        <v>161</v>
      </c>
      <c r="C60">
        <v>12345</v>
      </c>
      <c r="D60" t="s">
        <v>162</v>
      </c>
      <c r="E60" t="s">
        <v>34</v>
      </c>
      <c r="F60" t="s">
        <v>21</v>
      </c>
      <c r="G60">
        <v>8524</v>
      </c>
      <c r="I60">
        <v>1</v>
      </c>
    </row>
    <row r="61" spans="1:9" x14ac:dyDescent="0.25">
      <c r="A61">
        <v>126</v>
      </c>
      <c r="B61" t="s">
        <v>163</v>
      </c>
      <c r="C61">
        <v>12345</v>
      </c>
      <c r="D61" t="s">
        <v>53</v>
      </c>
      <c r="E61" t="s">
        <v>34</v>
      </c>
      <c r="F61" t="s">
        <v>38</v>
      </c>
      <c r="G61">
        <v>0</v>
      </c>
      <c r="I61">
        <v>1</v>
      </c>
    </row>
    <row r="62" spans="1:9" x14ac:dyDescent="0.25">
      <c r="A62">
        <v>129</v>
      </c>
      <c r="B62" t="s">
        <v>164</v>
      </c>
      <c r="C62">
        <v>12345</v>
      </c>
      <c r="D62" t="s">
        <v>165</v>
      </c>
      <c r="E62" t="s">
        <v>34</v>
      </c>
      <c r="F62" t="s">
        <v>13</v>
      </c>
      <c r="G62">
        <v>12483</v>
      </c>
      <c r="I62">
        <v>1</v>
      </c>
    </row>
    <row r="63" spans="1:9" x14ac:dyDescent="0.25">
      <c r="A63">
        <v>131</v>
      </c>
      <c r="B63" t="s">
        <v>166</v>
      </c>
      <c r="C63" t="s">
        <v>129</v>
      </c>
      <c r="D63" t="s">
        <v>53</v>
      </c>
      <c r="E63" t="s">
        <v>34</v>
      </c>
      <c r="F63" t="s">
        <v>21</v>
      </c>
      <c r="G63">
        <v>3719</v>
      </c>
      <c r="I63">
        <v>1</v>
      </c>
    </row>
    <row r="64" spans="1:9" x14ac:dyDescent="0.25">
      <c r="A64">
        <v>132</v>
      </c>
      <c r="B64" t="s">
        <v>167</v>
      </c>
      <c r="C64">
        <v>123456</v>
      </c>
      <c r="D64" t="s">
        <v>53</v>
      </c>
      <c r="E64" t="s">
        <v>34</v>
      </c>
      <c r="F64" t="s">
        <v>21</v>
      </c>
      <c r="G64">
        <v>12662</v>
      </c>
      <c r="I64">
        <v>1</v>
      </c>
    </row>
    <row r="65" spans="1:9" x14ac:dyDescent="0.25">
      <c r="A65">
        <v>134</v>
      </c>
      <c r="B65" t="s">
        <v>168</v>
      </c>
      <c r="C65" t="s">
        <v>129</v>
      </c>
      <c r="D65" t="s">
        <v>53</v>
      </c>
      <c r="E65" t="s">
        <v>34</v>
      </c>
      <c r="F65" t="s">
        <v>21</v>
      </c>
      <c r="G65">
        <v>12722</v>
      </c>
      <c r="I65">
        <v>1</v>
      </c>
    </row>
    <row r="66" spans="1:9" x14ac:dyDescent="0.25">
      <c r="A66">
        <v>135</v>
      </c>
      <c r="B66" t="s">
        <v>169</v>
      </c>
      <c r="C66" t="s">
        <v>129</v>
      </c>
      <c r="D66" t="s">
        <v>53</v>
      </c>
      <c r="E66" t="s">
        <v>34</v>
      </c>
      <c r="F66" t="s">
        <v>144</v>
      </c>
      <c r="G66">
        <v>11943</v>
      </c>
      <c r="I66">
        <v>1</v>
      </c>
    </row>
    <row r="67" spans="1:9" x14ac:dyDescent="0.25">
      <c r="A67">
        <v>136</v>
      </c>
      <c r="B67" t="s">
        <v>170</v>
      </c>
      <c r="C67">
        <v>1394</v>
      </c>
      <c r="D67" t="s">
        <v>53</v>
      </c>
      <c r="E67" t="s">
        <v>34</v>
      </c>
      <c r="F67" t="s">
        <v>89</v>
      </c>
      <c r="G67">
        <v>12844</v>
      </c>
      <c r="I67">
        <v>1</v>
      </c>
    </row>
    <row r="68" spans="1:9" x14ac:dyDescent="0.25">
      <c r="A68">
        <v>137</v>
      </c>
      <c r="B68" t="s">
        <v>171</v>
      </c>
      <c r="C68">
        <v>1234</v>
      </c>
      <c r="D68" t="s">
        <v>172</v>
      </c>
      <c r="E68" t="s">
        <v>34</v>
      </c>
      <c r="F68" t="s">
        <v>21</v>
      </c>
      <c r="G68">
        <v>6897</v>
      </c>
      <c r="I68">
        <v>1</v>
      </c>
    </row>
    <row r="69" spans="1:9" x14ac:dyDescent="0.25">
      <c r="A69">
        <v>138</v>
      </c>
      <c r="B69" t="s">
        <v>173</v>
      </c>
      <c r="C69">
        <v>247328</v>
      </c>
      <c r="D69" t="s">
        <v>53</v>
      </c>
      <c r="E69" t="s">
        <v>25</v>
      </c>
      <c r="F69" t="s">
        <v>21</v>
      </c>
      <c r="G69">
        <v>9762</v>
      </c>
      <c r="I69">
        <v>1</v>
      </c>
    </row>
    <row r="70" spans="1:9" x14ac:dyDescent="0.25">
      <c r="A70">
        <v>139</v>
      </c>
      <c r="B70" t="s">
        <v>174</v>
      </c>
      <c r="C70">
        <v>11111111</v>
      </c>
      <c r="D70" t="s">
        <v>175</v>
      </c>
      <c r="E70" t="s">
        <v>34</v>
      </c>
      <c r="F70" t="s">
        <v>144</v>
      </c>
      <c r="G70">
        <v>13164</v>
      </c>
      <c r="I70">
        <v>1</v>
      </c>
    </row>
    <row r="71" spans="1:9" x14ac:dyDescent="0.25">
      <c r="A71">
        <v>140</v>
      </c>
      <c r="B71" t="s">
        <v>176</v>
      </c>
      <c r="C71" t="s">
        <v>129</v>
      </c>
      <c r="D71" t="s">
        <v>177</v>
      </c>
      <c r="E71" t="s">
        <v>34</v>
      </c>
      <c r="F71" t="s">
        <v>13</v>
      </c>
      <c r="G71">
        <v>8537</v>
      </c>
      <c r="I71">
        <v>1</v>
      </c>
    </row>
    <row r="72" spans="1:9" x14ac:dyDescent="0.25">
      <c r="A72">
        <v>141</v>
      </c>
      <c r="B72" t="s">
        <v>178</v>
      </c>
      <c r="C72" t="s">
        <v>129</v>
      </c>
      <c r="D72" t="s">
        <v>53</v>
      </c>
      <c r="E72" t="s">
        <v>34</v>
      </c>
      <c r="F72" t="s">
        <v>21</v>
      </c>
      <c r="G72">
        <v>12602</v>
      </c>
      <c r="I72">
        <v>1</v>
      </c>
    </row>
    <row r="73" spans="1:9" x14ac:dyDescent="0.25">
      <c r="A73">
        <v>142</v>
      </c>
      <c r="B73" t="s">
        <v>179</v>
      </c>
      <c r="C73" t="s">
        <v>129</v>
      </c>
      <c r="D73" t="s">
        <v>180</v>
      </c>
      <c r="E73" t="s">
        <v>34</v>
      </c>
      <c r="F73" t="s">
        <v>21</v>
      </c>
      <c r="G73">
        <v>13270</v>
      </c>
      <c r="I73">
        <v>1</v>
      </c>
    </row>
    <row r="74" spans="1:9" x14ac:dyDescent="0.25">
      <c r="A74">
        <v>143</v>
      </c>
      <c r="B74" t="s">
        <v>181</v>
      </c>
      <c r="C74">
        <v>80916</v>
      </c>
      <c r="D74" t="s">
        <v>53</v>
      </c>
      <c r="E74" t="s">
        <v>34</v>
      </c>
      <c r="F74" t="s">
        <v>89</v>
      </c>
      <c r="G74">
        <v>13204</v>
      </c>
      <c r="I74">
        <v>1</v>
      </c>
    </row>
    <row r="75" spans="1:9" x14ac:dyDescent="0.25">
      <c r="A75">
        <v>144</v>
      </c>
      <c r="B75" t="s">
        <v>182</v>
      </c>
      <c r="C75" t="s">
        <v>129</v>
      </c>
      <c r="D75" t="s">
        <v>183</v>
      </c>
      <c r="E75" t="s">
        <v>34</v>
      </c>
      <c r="F75" t="s">
        <v>21</v>
      </c>
      <c r="G75">
        <v>13367</v>
      </c>
      <c r="I75">
        <v>1</v>
      </c>
    </row>
    <row r="76" spans="1:9" x14ac:dyDescent="0.25">
      <c r="A76">
        <v>145</v>
      </c>
      <c r="B76" t="s">
        <v>184</v>
      </c>
      <c r="C76" t="s">
        <v>129</v>
      </c>
      <c r="D76" t="s">
        <v>185</v>
      </c>
      <c r="E76" t="s">
        <v>69</v>
      </c>
      <c r="F76" t="s">
        <v>21</v>
      </c>
      <c r="G76">
        <v>12834</v>
      </c>
      <c r="I76">
        <v>1</v>
      </c>
    </row>
    <row r="77" spans="1:9" x14ac:dyDescent="0.25">
      <c r="A77">
        <v>146</v>
      </c>
      <c r="B77" t="s">
        <v>186</v>
      </c>
      <c r="C77" t="s">
        <v>129</v>
      </c>
      <c r="D77" t="s">
        <v>187</v>
      </c>
      <c r="E77" t="s">
        <v>34</v>
      </c>
      <c r="F77" t="s">
        <v>21</v>
      </c>
      <c r="G77">
        <v>13107</v>
      </c>
      <c r="I7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48566"/>
  <sheetViews>
    <sheetView topLeftCell="A1048551" workbookViewId="0">
      <selection activeCell="I1048563" sqref="I1048563:R1048563"/>
    </sheetView>
  </sheetViews>
  <sheetFormatPr defaultRowHeight="15" x14ac:dyDescent="0.25"/>
  <cols>
    <col min="1" max="1" width="17.85546875" bestFit="1" customWidth="1"/>
    <col min="6" max="6" width="24.42578125" bestFit="1" customWidth="1"/>
    <col min="7" max="7" width="19.5703125" bestFit="1" customWidth="1"/>
    <col min="9" max="9" width="17.5703125" bestFit="1" customWidth="1"/>
  </cols>
  <sheetData>
    <row r="1" spans="1:9" x14ac:dyDescent="0.25">
      <c r="A1" t="s">
        <v>0</v>
      </c>
      <c r="B1" t="s">
        <v>1</v>
      </c>
      <c r="C1" t="s">
        <v>2</v>
      </c>
      <c r="D1" t="s">
        <v>3</v>
      </c>
      <c r="E1" t="s">
        <v>4</v>
      </c>
      <c r="F1" t="s">
        <v>5</v>
      </c>
      <c r="G1" t="s">
        <v>6</v>
      </c>
      <c r="H1" t="s">
        <v>7</v>
      </c>
      <c r="I1" t="s">
        <v>8</v>
      </c>
    </row>
    <row r="2" spans="1:9" x14ac:dyDescent="0.25">
      <c r="A2">
        <v>41</v>
      </c>
      <c r="B2" t="s">
        <v>9</v>
      </c>
      <c r="C2" t="s">
        <v>10</v>
      </c>
      <c r="D2" t="s">
        <v>11</v>
      </c>
      <c r="E2" t="s">
        <v>12</v>
      </c>
      <c r="F2" t="s">
        <v>13</v>
      </c>
      <c r="G2">
        <v>6142</v>
      </c>
      <c r="I2">
        <v>1</v>
      </c>
    </row>
    <row r="3" spans="1:9" x14ac:dyDescent="0.25">
      <c r="A3">
        <v>42</v>
      </c>
      <c r="B3" t="s">
        <v>14</v>
      </c>
      <c r="C3">
        <v>12340</v>
      </c>
      <c r="D3" t="s">
        <v>15</v>
      </c>
      <c r="E3" t="s">
        <v>16</v>
      </c>
      <c r="F3" t="s">
        <v>13</v>
      </c>
      <c r="G3">
        <v>181</v>
      </c>
      <c r="I3">
        <v>1</v>
      </c>
    </row>
    <row r="4" spans="1:9" x14ac:dyDescent="0.25">
      <c r="A4">
        <v>43</v>
      </c>
      <c r="B4" t="s">
        <v>17</v>
      </c>
      <c r="C4" t="s">
        <v>18</v>
      </c>
      <c r="D4" t="s">
        <v>19</v>
      </c>
      <c r="E4" t="s">
        <v>20</v>
      </c>
      <c r="F4" t="s">
        <v>21</v>
      </c>
      <c r="G4">
        <v>52</v>
      </c>
      <c r="I4">
        <v>1</v>
      </c>
    </row>
    <row r="5" spans="1:9" x14ac:dyDescent="0.25">
      <c r="A5">
        <v>44</v>
      </c>
      <c r="B5" t="s">
        <v>22</v>
      </c>
      <c r="C5" t="s">
        <v>23</v>
      </c>
      <c r="D5" t="s">
        <v>24</v>
      </c>
      <c r="E5" t="s">
        <v>25</v>
      </c>
      <c r="F5" t="s">
        <v>21</v>
      </c>
      <c r="G5">
        <v>22</v>
      </c>
      <c r="I5">
        <v>1</v>
      </c>
    </row>
    <row r="6" spans="1:9" x14ac:dyDescent="0.25">
      <c r="A6">
        <v>45</v>
      </c>
      <c r="B6" t="s">
        <v>26</v>
      </c>
      <c r="C6" t="s">
        <v>27</v>
      </c>
      <c r="D6" t="s">
        <v>28</v>
      </c>
      <c r="E6" t="s">
        <v>25</v>
      </c>
      <c r="F6" t="s">
        <v>13</v>
      </c>
      <c r="G6">
        <v>999</v>
      </c>
      <c r="I6">
        <v>1</v>
      </c>
    </row>
    <row r="7" spans="1:9" x14ac:dyDescent="0.25">
      <c r="A7">
        <v>47</v>
      </c>
      <c r="B7" t="s">
        <v>29</v>
      </c>
      <c r="C7" t="s">
        <v>30</v>
      </c>
      <c r="D7" t="s">
        <v>31</v>
      </c>
      <c r="E7" t="s">
        <v>16</v>
      </c>
      <c r="F7" t="s">
        <v>21</v>
      </c>
      <c r="G7">
        <v>1299</v>
      </c>
      <c r="I7">
        <v>1</v>
      </c>
    </row>
    <row r="8" spans="1:9" x14ac:dyDescent="0.25">
      <c r="A8">
        <v>48</v>
      </c>
      <c r="B8" t="s">
        <v>32</v>
      </c>
      <c r="C8">
        <v>5623</v>
      </c>
      <c r="D8" t="s">
        <v>33</v>
      </c>
      <c r="E8" t="s">
        <v>34</v>
      </c>
      <c r="F8" t="s">
        <v>35</v>
      </c>
      <c r="G8">
        <v>2091</v>
      </c>
      <c r="I8">
        <v>1</v>
      </c>
    </row>
    <row r="9" spans="1:9" x14ac:dyDescent="0.25">
      <c r="A9">
        <v>49</v>
      </c>
      <c r="B9" t="s">
        <v>36</v>
      </c>
      <c r="C9">
        <v>7890</v>
      </c>
      <c r="D9" t="s">
        <v>37</v>
      </c>
      <c r="E9" t="s">
        <v>34</v>
      </c>
      <c r="F9" t="s">
        <v>38</v>
      </c>
      <c r="G9">
        <v>10901</v>
      </c>
      <c r="I9">
        <v>1</v>
      </c>
    </row>
    <row r="10" spans="1:9" x14ac:dyDescent="0.25">
      <c r="A10">
        <v>51</v>
      </c>
      <c r="B10" t="s">
        <v>39</v>
      </c>
      <c r="C10">
        <v>12345</v>
      </c>
      <c r="D10" t="s">
        <v>40</v>
      </c>
      <c r="E10" t="s">
        <v>34</v>
      </c>
      <c r="F10" t="s">
        <v>35</v>
      </c>
      <c r="G10">
        <v>0</v>
      </c>
      <c r="I10">
        <v>1</v>
      </c>
    </row>
    <row r="11" spans="1:9" x14ac:dyDescent="0.25">
      <c r="A11">
        <v>52</v>
      </c>
      <c r="B11" t="s">
        <v>41</v>
      </c>
      <c r="C11">
        <v>12340</v>
      </c>
      <c r="D11" t="s">
        <v>40</v>
      </c>
      <c r="E11" t="s">
        <v>34</v>
      </c>
      <c r="F11" t="s">
        <v>42</v>
      </c>
      <c r="G11">
        <v>0</v>
      </c>
      <c r="I11">
        <v>1</v>
      </c>
    </row>
    <row r="12" spans="1:9" x14ac:dyDescent="0.25">
      <c r="A12">
        <v>54</v>
      </c>
      <c r="B12" t="s">
        <v>43</v>
      </c>
      <c r="C12" t="s">
        <v>44</v>
      </c>
      <c r="D12" t="s">
        <v>45</v>
      </c>
      <c r="E12" t="s">
        <v>25</v>
      </c>
      <c r="F12" t="s">
        <v>13</v>
      </c>
      <c r="G12">
        <v>6898</v>
      </c>
      <c r="I12">
        <v>1</v>
      </c>
    </row>
    <row r="13" spans="1:9" x14ac:dyDescent="0.25">
      <c r="A13">
        <v>56</v>
      </c>
      <c r="B13" t="s">
        <v>46</v>
      </c>
      <c r="C13" t="s">
        <v>47</v>
      </c>
      <c r="D13" t="s">
        <v>48</v>
      </c>
      <c r="E13" t="s">
        <v>20</v>
      </c>
      <c r="F13" t="s">
        <v>21</v>
      </c>
      <c r="G13">
        <v>4475</v>
      </c>
      <c r="I13">
        <v>1</v>
      </c>
    </row>
    <row r="14" spans="1:9" x14ac:dyDescent="0.25">
      <c r="A14">
        <v>57</v>
      </c>
      <c r="B14" t="s">
        <v>49</v>
      </c>
      <c r="C14" t="s">
        <v>50</v>
      </c>
      <c r="D14" t="s">
        <v>51</v>
      </c>
      <c r="E14" t="s">
        <v>34</v>
      </c>
      <c r="F14" t="s">
        <v>21</v>
      </c>
      <c r="G14">
        <v>7658</v>
      </c>
      <c r="I14">
        <v>1</v>
      </c>
    </row>
    <row r="15" spans="1:9" x14ac:dyDescent="0.25">
      <c r="A15">
        <v>58</v>
      </c>
      <c r="B15" t="s">
        <v>52</v>
      </c>
      <c r="C15">
        <v>1604</v>
      </c>
      <c r="D15" t="s">
        <v>53</v>
      </c>
      <c r="E15" t="s">
        <v>34</v>
      </c>
      <c r="F15" t="s">
        <v>21</v>
      </c>
      <c r="G15">
        <v>10151</v>
      </c>
      <c r="I15">
        <v>1</v>
      </c>
    </row>
    <row r="16" spans="1:9" x14ac:dyDescent="0.25">
      <c r="A16">
        <v>59</v>
      </c>
      <c r="B16" t="s">
        <v>54</v>
      </c>
      <c r="C16" t="s">
        <v>55</v>
      </c>
      <c r="D16" t="s">
        <v>56</v>
      </c>
      <c r="E16" t="s">
        <v>34</v>
      </c>
      <c r="F16" t="s">
        <v>21</v>
      </c>
      <c r="G16">
        <v>6176</v>
      </c>
      <c r="I16">
        <v>1</v>
      </c>
    </row>
    <row r="17" spans="1:9" x14ac:dyDescent="0.25">
      <c r="A17">
        <v>60</v>
      </c>
      <c r="B17" t="s">
        <v>57</v>
      </c>
      <c r="C17" t="s">
        <v>58</v>
      </c>
      <c r="D17" t="s">
        <v>59</v>
      </c>
      <c r="E17" t="s">
        <v>34</v>
      </c>
      <c r="F17" t="s">
        <v>21</v>
      </c>
      <c r="G17">
        <v>67</v>
      </c>
      <c r="I17">
        <v>1</v>
      </c>
    </row>
    <row r="18" spans="1:9" x14ac:dyDescent="0.25">
      <c r="A18">
        <v>62</v>
      </c>
      <c r="B18" t="s">
        <v>60</v>
      </c>
      <c r="C18" t="s">
        <v>61</v>
      </c>
      <c r="D18" t="s">
        <v>62</v>
      </c>
      <c r="E18" t="s">
        <v>34</v>
      </c>
      <c r="F18" t="s">
        <v>21</v>
      </c>
      <c r="G18">
        <v>7945</v>
      </c>
      <c r="I18">
        <v>1</v>
      </c>
    </row>
    <row r="19" spans="1:9" x14ac:dyDescent="0.25">
      <c r="A19">
        <v>63</v>
      </c>
      <c r="B19" t="s">
        <v>63</v>
      </c>
      <c r="C19" t="s">
        <v>64</v>
      </c>
      <c r="D19" t="s">
        <v>65</v>
      </c>
      <c r="E19" t="s">
        <v>25</v>
      </c>
      <c r="F19" t="s">
        <v>35</v>
      </c>
      <c r="G19">
        <v>0</v>
      </c>
      <c r="H19" t="s">
        <v>66</v>
      </c>
      <c r="I19">
        <v>1</v>
      </c>
    </row>
    <row r="20" spans="1:9" x14ac:dyDescent="0.25">
      <c r="A20">
        <v>64</v>
      </c>
      <c r="B20" t="s">
        <v>67</v>
      </c>
      <c r="C20">
        <v>12340</v>
      </c>
      <c r="D20" t="s">
        <v>68</v>
      </c>
      <c r="E20" t="s">
        <v>69</v>
      </c>
      <c r="F20" t="s">
        <v>13</v>
      </c>
      <c r="G20">
        <v>7549</v>
      </c>
      <c r="I20">
        <v>1</v>
      </c>
    </row>
    <row r="21" spans="1:9" x14ac:dyDescent="0.25">
      <c r="A21">
        <v>66</v>
      </c>
      <c r="B21" t="s">
        <v>70</v>
      </c>
      <c r="C21">
        <v>200816</v>
      </c>
      <c r="D21" t="s">
        <v>71</v>
      </c>
      <c r="E21" t="s">
        <v>34</v>
      </c>
      <c r="F21" t="s">
        <v>13</v>
      </c>
      <c r="G21">
        <v>10382</v>
      </c>
      <c r="I21">
        <v>1</v>
      </c>
    </row>
    <row r="22" spans="1:9" x14ac:dyDescent="0.25">
      <c r="A22">
        <v>67</v>
      </c>
      <c r="B22" t="s">
        <v>72</v>
      </c>
      <c r="C22">
        <v>12345</v>
      </c>
      <c r="D22" t="s">
        <v>73</v>
      </c>
      <c r="E22" t="s">
        <v>69</v>
      </c>
      <c r="F22" t="s">
        <v>42</v>
      </c>
      <c r="G22">
        <v>5628</v>
      </c>
      <c r="I22">
        <v>1</v>
      </c>
    </row>
    <row r="23" spans="1:9" x14ac:dyDescent="0.25">
      <c r="A23">
        <v>68</v>
      </c>
      <c r="B23" t="s">
        <v>74</v>
      </c>
      <c r="C23">
        <v>2878</v>
      </c>
      <c r="D23" t="s">
        <v>75</v>
      </c>
      <c r="E23" t="s">
        <v>69</v>
      </c>
      <c r="F23" t="s">
        <v>21</v>
      </c>
      <c r="G23">
        <v>7041</v>
      </c>
      <c r="I23">
        <v>1</v>
      </c>
    </row>
    <row r="24" spans="1:9" x14ac:dyDescent="0.25">
      <c r="A24">
        <v>69</v>
      </c>
      <c r="B24" t="s">
        <v>76</v>
      </c>
      <c r="C24">
        <v>12345</v>
      </c>
      <c r="D24" t="s">
        <v>77</v>
      </c>
      <c r="E24" t="s">
        <v>34</v>
      </c>
      <c r="F24" t="s">
        <v>21</v>
      </c>
      <c r="G24">
        <v>4158</v>
      </c>
      <c r="I24">
        <v>1</v>
      </c>
    </row>
    <row r="25" spans="1:9" x14ac:dyDescent="0.25">
      <c r="A25">
        <v>70</v>
      </c>
      <c r="B25" t="s">
        <v>78</v>
      </c>
      <c r="C25" t="s">
        <v>79</v>
      </c>
      <c r="D25" t="s">
        <v>80</v>
      </c>
      <c r="E25" t="s">
        <v>25</v>
      </c>
      <c r="F25" t="s">
        <v>13</v>
      </c>
      <c r="G25">
        <v>8464</v>
      </c>
      <c r="I25">
        <v>1</v>
      </c>
    </row>
    <row r="26" spans="1:9" x14ac:dyDescent="0.25">
      <c r="A26">
        <v>71</v>
      </c>
      <c r="B26" t="s">
        <v>81</v>
      </c>
      <c r="C26" t="s">
        <v>82</v>
      </c>
      <c r="D26" t="s">
        <v>83</v>
      </c>
      <c r="E26" t="s">
        <v>34</v>
      </c>
      <c r="F26" t="s">
        <v>21</v>
      </c>
      <c r="G26">
        <v>0</v>
      </c>
      <c r="H26" t="s">
        <v>202</v>
      </c>
      <c r="I26">
        <v>1</v>
      </c>
    </row>
    <row r="27" spans="1:9" x14ac:dyDescent="0.25">
      <c r="A27">
        <v>72</v>
      </c>
      <c r="B27" t="s">
        <v>84</v>
      </c>
      <c r="C27">
        <v>123789</v>
      </c>
      <c r="D27" t="s">
        <v>53</v>
      </c>
      <c r="E27" t="s">
        <v>25</v>
      </c>
      <c r="F27" t="s">
        <v>42</v>
      </c>
      <c r="G27">
        <v>11879</v>
      </c>
      <c r="I27">
        <v>1</v>
      </c>
    </row>
    <row r="28" spans="1:9" x14ac:dyDescent="0.25">
      <c r="A28">
        <v>73</v>
      </c>
      <c r="B28" t="s">
        <v>85</v>
      </c>
      <c r="C28">
        <v>1234</v>
      </c>
      <c r="D28" t="s">
        <v>86</v>
      </c>
      <c r="E28" t="s">
        <v>69</v>
      </c>
      <c r="F28" t="s">
        <v>21</v>
      </c>
      <c r="G28">
        <v>0</v>
      </c>
      <c r="H28" t="s">
        <v>203</v>
      </c>
      <c r="I28">
        <v>1</v>
      </c>
    </row>
    <row r="29" spans="1:9" x14ac:dyDescent="0.25">
      <c r="A29">
        <v>75</v>
      </c>
      <c r="B29" t="s">
        <v>87</v>
      </c>
      <c r="C29">
        <v>102</v>
      </c>
      <c r="D29" t="s">
        <v>88</v>
      </c>
      <c r="E29" t="s">
        <v>34</v>
      </c>
      <c r="F29" t="s">
        <v>89</v>
      </c>
      <c r="G29">
        <v>12769</v>
      </c>
      <c r="I29">
        <v>1</v>
      </c>
    </row>
    <row r="30" spans="1:9" x14ac:dyDescent="0.25">
      <c r="A30">
        <v>77</v>
      </c>
      <c r="B30" t="s">
        <v>90</v>
      </c>
      <c r="C30">
        <v>12345</v>
      </c>
      <c r="D30" t="s">
        <v>56</v>
      </c>
      <c r="E30" t="s">
        <v>34</v>
      </c>
      <c r="F30" t="s">
        <v>21</v>
      </c>
      <c r="G30">
        <v>4880</v>
      </c>
      <c r="I30">
        <v>1</v>
      </c>
    </row>
    <row r="31" spans="1:9" x14ac:dyDescent="0.25">
      <c r="A31">
        <v>82</v>
      </c>
      <c r="B31" t="s">
        <v>91</v>
      </c>
      <c r="C31">
        <v>2697</v>
      </c>
      <c r="D31" t="s">
        <v>92</v>
      </c>
      <c r="E31" t="s">
        <v>34</v>
      </c>
      <c r="F31" t="s">
        <v>21</v>
      </c>
      <c r="G31">
        <v>10054</v>
      </c>
      <c r="I31">
        <v>1</v>
      </c>
    </row>
    <row r="32" spans="1:9" x14ac:dyDescent="0.25">
      <c r="A32">
        <v>83</v>
      </c>
      <c r="B32" t="s">
        <v>93</v>
      </c>
      <c r="C32">
        <v>1986</v>
      </c>
      <c r="D32" t="s">
        <v>92</v>
      </c>
      <c r="E32" t="s">
        <v>34</v>
      </c>
      <c r="F32" t="s">
        <v>13</v>
      </c>
      <c r="G32">
        <v>0</v>
      </c>
      <c r="H32" t="s">
        <v>94</v>
      </c>
      <c r="I32">
        <v>1</v>
      </c>
    </row>
    <row r="33" spans="1:9" x14ac:dyDescent="0.25">
      <c r="A33">
        <v>86</v>
      </c>
      <c r="B33" t="s">
        <v>95</v>
      </c>
      <c r="C33" t="s">
        <v>96</v>
      </c>
      <c r="D33" t="s">
        <v>97</v>
      </c>
      <c r="E33" t="s">
        <v>34</v>
      </c>
      <c r="F33" t="s">
        <v>21</v>
      </c>
      <c r="G33">
        <v>3589</v>
      </c>
      <c r="I33">
        <v>1</v>
      </c>
    </row>
    <row r="34" spans="1:9" x14ac:dyDescent="0.25">
      <c r="A34">
        <v>87</v>
      </c>
      <c r="B34" t="s">
        <v>98</v>
      </c>
      <c r="C34" t="s">
        <v>99</v>
      </c>
      <c r="D34" t="s">
        <v>71</v>
      </c>
      <c r="E34" t="s">
        <v>25</v>
      </c>
      <c r="F34" t="s">
        <v>13</v>
      </c>
      <c r="G34">
        <v>10221</v>
      </c>
      <c r="I34">
        <v>1</v>
      </c>
    </row>
    <row r="35" spans="1:9" x14ac:dyDescent="0.25">
      <c r="A35">
        <v>88</v>
      </c>
      <c r="B35" t="s">
        <v>100</v>
      </c>
      <c r="C35" t="s">
        <v>101</v>
      </c>
      <c r="D35" t="s">
        <v>102</v>
      </c>
      <c r="E35" t="s">
        <v>12</v>
      </c>
      <c r="F35" t="s">
        <v>13</v>
      </c>
      <c r="G35">
        <v>0</v>
      </c>
      <c r="I35">
        <v>1</v>
      </c>
    </row>
    <row r="36" spans="1:9" x14ac:dyDescent="0.25">
      <c r="A36">
        <v>89</v>
      </c>
      <c r="B36" t="s">
        <v>103</v>
      </c>
      <c r="C36">
        <v>123450</v>
      </c>
      <c r="D36" t="s">
        <v>104</v>
      </c>
      <c r="E36" t="s">
        <v>16</v>
      </c>
      <c r="F36" t="s">
        <v>21</v>
      </c>
      <c r="G36">
        <v>8242</v>
      </c>
      <c r="I36">
        <v>1</v>
      </c>
    </row>
    <row r="37" spans="1:9" x14ac:dyDescent="0.25">
      <c r="A37">
        <v>90</v>
      </c>
      <c r="B37" t="s">
        <v>105</v>
      </c>
      <c r="C37">
        <v>1726</v>
      </c>
      <c r="D37" t="s">
        <v>71</v>
      </c>
      <c r="E37" t="s">
        <v>34</v>
      </c>
      <c r="F37" t="s">
        <v>106</v>
      </c>
      <c r="G37">
        <v>10209</v>
      </c>
      <c r="I37">
        <v>1</v>
      </c>
    </row>
    <row r="38" spans="1:9" x14ac:dyDescent="0.25">
      <c r="A38">
        <v>92</v>
      </c>
      <c r="B38" t="s">
        <v>107</v>
      </c>
      <c r="C38" t="s">
        <v>108</v>
      </c>
      <c r="D38" t="s">
        <v>109</v>
      </c>
      <c r="E38" t="s">
        <v>34</v>
      </c>
      <c r="F38" t="s">
        <v>35</v>
      </c>
      <c r="G38">
        <v>13253</v>
      </c>
      <c r="I38">
        <v>1</v>
      </c>
    </row>
    <row r="39" spans="1:9" x14ac:dyDescent="0.25">
      <c r="A39">
        <v>93</v>
      </c>
      <c r="B39" t="s">
        <v>110</v>
      </c>
      <c r="C39">
        <v>12345</v>
      </c>
      <c r="D39" t="s">
        <v>111</v>
      </c>
      <c r="E39" t="s">
        <v>69</v>
      </c>
      <c r="F39" t="s">
        <v>38</v>
      </c>
      <c r="G39">
        <v>0</v>
      </c>
      <c r="H39" t="s">
        <v>112</v>
      </c>
      <c r="I39">
        <v>1</v>
      </c>
    </row>
    <row r="40" spans="1:9" x14ac:dyDescent="0.25">
      <c r="A40">
        <v>94</v>
      </c>
      <c r="B40" t="s">
        <v>113</v>
      </c>
      <c r="C40" t="s">
        <v>114</v>
      </c>
      <c r="D40" t="s">
        <v>53</v>
      </c>
      <c r="E40" t="s">
        <v>34</v>
      </c>
      <c r="F40" t="s">
        <v>35</v>
      </c>
      <c r="G40">
        <v>13189</v>
      </c>
      <c r="I40">
        <v>1</v>
      </c>
    </row>
    <row r="41" spans="1:9" x14ac:dyDescent="0.25">
      <c r="A41">
        <v>96</v>
      </c>
      <c r="B41" t="s">
        <v>115</v>
      </c>
      <c r="C41">
        <v>12345</v>
      </c>
      <c r="D41" t="s">
        <v>116</v>
      </c>
      <c r="E41" t="s">
        <v>34</v>
      </c>
      <c r="F41" t="s">
        <v>35</v>
      </c>
      <c r="G41">
        <v>13005</v>
      </c>
      <c r="I41">
        <v>1</v>
      </c>
    </row>
    <row r="42" spans="1:9" x14ac:dyDescent="0.25">
      <c r="A42">
        <v>97</v>
      </c>
      <c r="B42" t="s">
        <v>117</v>
      </c>
      <c r="C42">
        <v>1234</v>
      </c>
      <c r="D42" t="s">
        <v>118</v>
      </c>
      <c r="E42" t="s">
        <v>119</v>
      </c>
      <c r="F42" t="s">
        <v>35</v>
      </c>
      <c r="G42">
        <v>0</v>
      </c>
      <c r="H42" t="s">
        <v>120</v>
      </c>
      <c r="I42">
        <v>1</v>
      </c>
    </row>
    <row r="43" spans="1:9" x14ac:dyDescent="0.25">
      <c r="A43">
        <v>98</v>
      </c>
      <c r="B43" t="s">
        <v>121</v>
      </c>
      <c r="C43">
        <v>7410</v>
      </c>
      <c r="D43" t="s">
        <v>71</v>
      </c>
      <c r="E43" t="s">
        <v>34</v>
      </c>
      <c r="F43" t="s">
        <v>13</v>
      </c>
      <c r="G43">
        <v>10569</v>
      </c>
      <c r="I43">
        <v>1</v>
      </c>
    </row>
    <row r="44" spans="1:9" x14ac:dyDescent="0.25">
      <c r="A44">
        <v>101</v>
      </c>
      <c r="B44" t="s">
        <v>122</v>
      </c>
      <c r="C44">
        <v>193105</v>
      </c>
      <c r="D44" t="s">
        <v>53</v>
      </c>
      <c r="E44" t="s">
        <v>16</v>
      </c>
      <c r="F44" t="s">
        <v>13</v>
      </c>
      <c r="G44">
        <v>0</v>
      </c>
      <c r="H44" t="s">
        <v>123</v>
      </c>
      <c r="I44">
        <v>1</v>
      </c>
    </row>
    <row r="45" spans="1:9" x14ac:dyDescent="0.25">
      <c r="A45">
        <v>102</v>
      </c>
      <c r="B45" t="s">
        <v>124</v>
      </c>
      <c r="C45">
        <v>12345</v>
      </c>
      <c r="D45" t="s">
        <v>53</v>
      </c>
      <c r="E45" t="s">
        <v>16</v>
      </c>
      <c r="F45" t="s">
        <v>21</v>
      </c>
      <c r="G45">
        <v>10222</v>
      </c>
      <c r="I45">
        <v>1</v>
      </c>
    </row>
    <row r="46" spans="1:9" x14ac:dyDescent="0.25">
      <c r="A46">
        <v>103</v>
      </c>
      <c r="B46" t="s">
        <v>125</v>
      </c>
      <c r="C46" t="s">
        <v>126</v>
      </c>
      <c r="D46" t="s">
        <v>127</v>
      </c>
      <c r="E46" t="s">
        <v>34</v>
      </c>
      <c r="F46" t="s">
        <v>21</v>
      </c>
      <c r="G46">
        <v>0</v>
      </c>
      <c r="I46">
        <v>1</v>
      </c>
    </row>
    <row r="47" spans="1:9" x14ac:dyDescent="0.25">
      <c r="A47">
        <v>108</v>
      </c>
      <c r="B47" t="s">
        <v>128</v>
      </c>
      <c r="C47" t="s">
        <v>129</v>
      </c>
      <c r="D47" t="s">
        <v>130</v>
      </c>
      <c r="E47" t="s">
        <v>119</v>
      </c>
      <c r="F47" t="s">
        <v>21</v>
      </c>
      <c r="G47">
        <v>5913</v>
      </c>
      <c r="I47">
        <v>1</v>
      </c>
    </row>
    <row r="48" spans="1:9" x14ac:dyDescent="0.25">
      <c r="A48">
        <v>109</v>
      </c>
      <c r="B48" t="s">
        <v>131</v>
      </c>
      <c r="C48">
        <v>1234</v>
      </c>
      <c r="D48" t="s">
        <v>132</v>
      </c>
      <c r="E48" t="s">
        <v>119</v>
      </c>
      <c r="F48" t="s">
        <v>13</v>
      </c>
      <c r="G48">
        <v>11258</v>
      </c>
      <c r="I48">
        <v>1</v>
      </c>
    </row>
    <row r="49" spans="1:9" x14ac:dyDescent="0.25">
      <c r="A49">
        <v>110</v>
      </c>
      <c r="B49" t="s">
        <v>133</v>
      </c>
      <c r="C49">
        <v>1234</v>
      </c>
      <c r="D49" t="s">
        <v>134</v>
      </c>
      <c r="E49" t="s">
        <v>119</v>
      </c>
      <c r="F49" t="s">
        <v>42</v>
      </c>
      <c r="G49">
        <v>0</v>
      </c>
      <c r="H49" t="s">
        <v>135</v>
      </c>
      <c r="I49">
        <v>1</v>
      </c>
    </row>
    <row r="50" spans="1:9" x14ac:dyDescent="0.25">
      <c r="A50">
        <v>111</v>
      </c>
      <c r="B50" t="s">
        <v>136</v>
      </c>
      <c r="C50">
        <v>12345</v>
      </c>
      <c r="D50" t="s">
        <v>137</v>
      </c>
      <c r="E50" t="s">
        <v>34</v>
      </c>
      <c r="F50" t="s">
        <v>38</v>
      </c>
      <c r="G50">
        <v>11476</v>
      </c>
      <c r="I50">
        <v>1</v>
      </c>
    </row>
    <row r="51" spans="1:9" x14ac:dyDescent="0.25">
      <c r="A51">
        <v>112</v>
      </c>
      <c r="B51" t="s">
        <v>138</v>
      </c>
      <c r="C51">
        <v>123</v>
      </c>
      <c r="D51" t="s">
        <v>53</v>
      </c>
      <c r="E51" t="s">
        <v>34</v>
      </c>
      <c r="F51" t="s">
        <v>139</v>
      </c>
      <c r="G51">
        <v>0</v>
      </c>
      <c r="H51" t="s">
        <v>140</v>
      </c>
      <c r="I51">
        <v>1</v>
      </c>
    </row>
    <row r="52" spans="1:9" x14ac:dyDescent="0.25">
      <c r="A52">
        <v>113</v>
      </c>
      <c r="B52" t="s">
        <v>141</v>
      </c>
      <c r="C52" t="s">
        <v>142</v>
      </c>
      <c r="D52" t="s">
        <v>143</v>
      </c>
      <c r="E52" t="s">
        <v>20</v>
      </c>
      <c r="F52" t="s">
        <v>144</v>
      </c>
      <c r="G52">
        <v>0</v>
      </c>
      <c r="H52" t="s">
        <v>145</v>
      </c>
      <c r="I52">
        <v>1</v>
      </c>
    </row>
    <row r="53" spans="1:9" x14ac:dyDescent="0.25">
      <c r="A53">
        <v>114</v>
      </c>
      <c r="B53" t="s">
        <v>146</v>
      </c>
      <c r="C53" t="s">
        <v>129</v>
      </c>
      <c r="D53" t="s">
        <v>147</v>
      </c>
      <c r="E53" t="s">
        <v>25</v>
      </c>
      <c r="F53" t="s">
        <v>89</v>
      </c>
      <c r="G53">
        <v>0</v>
      </c>
      <c r="H53" t="s">
        <v>148</v>
      </c>
      <c r="I53">
        <v>1</v>
      </c>
    </row>
    <row r="54" spans="1:9" x14ac:dyDescent="0.25">
      <c r="A54">
        <v>115</v>
      </c>
      <c r="B54" t="s">
        <v>149</v>
      </c>
      <c r="C54">
        <v>12340</v>
      </c>
      <c r="D54" t="s">
        <v>150</v>
      </c>
      <c r="E54" t="s">
        <v>34</v>
      </c>
      <c r="F54" t="s">
        <v>21</v>
      </c>
      <c r="G54">
        <v>515</v>
      </c>
      <c r="I54">
        <v>1</v>
      </c>
    </row>
    <row r="55" spans="1:9" x14ac:dyDescent="0.25">
      <c r="A55">
        <v>116</v>
      </c>
      <c r="B55" t="s">
        <v>151</v>
      </c>
      <c r="C55" t="s">
        <v>129</v>
      </c>
      <c r="D55" t="s">
        <v>53</v>
      </c>
      <c r="E55" t="s">
        <v>34</v>
      </c>
      <c r="F55" t="s">
        <v>35</v>
      </c>
      <c r="G55">
        <v>11834</v>
      </c>
      <c r="I55">
        <v>1</v>
      </c>
    </row>
    <row r="56" spans="1:9" x14ac:dyDescent="0.25">
      <c r="A56">
        <v>120</v>
      </c>
      <c r="B56" t="s">
        <v>152</v>
      </c>
      <c r="C56" t="s">
        <v>153</v>
      </c>
      <c r="D56" t="s">
        <v>53</v>
      </c>
      <c r="E56" t="s">
        <v>34</v>
      </c>
      <c r="F56" t="s">
        <v>89</v>
      </c>
      <c r="G56">
        <v>11716</v>
      </c>
      <c r="I56">
        <v>1</v>
      </c>
    </row>
    <row r="57" spans="1:9" x14ac:dyDescent="0.25">
      <c r="A57">
        <v>121</v>
      </c>
      <c r="B57" t="s">
        <v>154</v>
      </c>
      <c r="C57">
        <v>12340</v>
      </c>
      <c r="D57" t="s">
        <v>155</v>
      </c>
      <c r="E57" t="s">
        <v>34</v>
      </c>
      <c r="F57" t="s">
        <v>21</v>
      </c>
      <c r="G57">
        <v>7283</v>
      </c>
      <c r="I57">
        <v>1</v>
      </c>
    </row>
    <row r="58" spans="1:9" x14ac:dyDescent="0.25">
      <c r="A58">
        <v>122</v>
      </c>
      <c r="B58" t="s">
        <v>156</v>
      </c>
      <c r="C58">
        <v>12340</v>
      </c>
      <c r="D58" t="s">
        <v>157</v>
      </c>
      <c r="E58" t="s">
        <v>34</v>
      </c>
      <c r="F58" t="s">
        <v>13</v>
      </c>
      <c r="G58">
        <v>0</v>
      </c>
      <c r="H58" t="s">
        <v>158</v>
      </c>
      <c r="I58">
        <v>1</v>
      </c>
    </row>
    <row r="59" spans="1:9" x14ac:dyDescent="0.25">
      <c r="A59">
        <v>123</v>
      </c>
      <c r="B59" t="s">
        <v>159</v>
      </c>
      <c r="C59">
        <v>1234</v>
      </c>
      <c r="D59" t="s">
        <v>160</v>
      </c>
      <c r="E59" t="s">
        <v>34</v>
      </c>
      <c r="F59" t="s">
        <v>13</v>
      </c>
      <c r="G59">
        <v>11524</v>
      </c>
      <c r="I59">
        <v>1</v>
      </c>
    </row>
    <row r="60" spans="1:9" x14ac:dyDescent="0.25">
      <c r="A60">
        <v>125</v>
      </c>
      <c r="B60" t="s">
        <v>161</v>
      </c>
      <c r="C60">
        <v>12345</v>
      </c>
      <c r="D60" t="s">
        <v>162</v>
      </c>
      <c r="E60" t="s">
        <v>34</v>
      </c>
      <c r="F60" t="s">
        <v>21</v>
      </c>
      <c r="G60">
        <v>8524</v>
      </c>
      <c r="I60">
        <v>1</v>
      </c>
    </row>
    <row r="61" spans="1:9" x14ac:dyDescent="0.25">
      <c r="A61">
        <v>126</v>
      </c>
      <c r="B61" t="s">
        <v>163</v>
      </c>
      <c r="C61">
        <v>12345</v>
      </c>
      <c r="D61" t="s">
        <v>53</v>
      </c>
      <c r="E61" t="s">
        <v>34</v>
      </c>
      <c r="F61" t="s">
        <v>38</v>
      </c>
      <c r="G61">
        <v>0</v>
      </c>
      <c r="H61" t="s">
        <v>204</v>
      </c>
      <c r="I61">
        <v>1</v>
      </c>
    </row>
    <row r="62" spans="1:9" x14ac:dyDescent="0.25">
      <c r="A62">
        <v>129</v>
      </c>
      <c r="B62" t="s">
        <v>164</v>
      </c>
      <c r="C62">
        <v>12345</v>
      </c>
      <c r="D62" t="s">
        <v>165</v>
      </c>
      <c r="E62" t="s">
        <v>34</v>
      </c>
      <c r="F62" t="s">
        <v>13</v>
      </c>
      <c r="G62">
        <v>12483</v>
      </c>
      <c r="I62">
        <v>1</v>
      </c>
    </row>
    <row r="63" spans="1:9" x14ac:dyDescent="0.25">
      <c r="A63">
        <v>131</v>
      </c>
      <c r="B63" t="s">
        <v>166</v>
      </c>
      <c r="C63" t="s">
        <v>129</v>
      </c>
      <c r="D63" t="s">
        <v>53</v>
      </c>
      <c r="E63" t="s">
        <v>34</v>
      </c>
      <c r="F63" t="s">
        <v>21</v>
      </c>
      <c r="G63">
        <v>3719</v>
      </c>
      <c r="I63">
        <v>1</v>
      </c>
    </row>
    <row r="64" spans="1:9" x14ac:dyDescent="0.25">
      <c r="A64">
        <v>132</v>
      </c>
      <c r="B64" t="s">
        <v>167</v>
      </c>
      <c r="C64">
        <v>123456</v>
      </c>
      <c r="D64" t="s">
        <v>53</v>
      </c>
      <c r="E64" t="s">
        <v>34</v>
      </c>
      <c r="F64" t="s">
        <v>21</v>
      </c>
      <c r="G64">
        <v>12662</v>
      </c>
      <c r="I64">
        <v>1</v>
      </c>
    </row>
    <row r="65" spans="1:9" x14ac:dyDescent="0.25">
      <c r="A65">
        <v>134</v>
      </c>
      <c r="B65" t="s">
        <v>168</v>
      </c>
      <c r="C65" t="s">
        <v>129</v>
      </c>
      <c r="D65" t="s">
        <v>53</v>
      </c>
      <c r="E65" t="s">
        <v>34</v>
      </c>
      <c r="F65" t="s">
        <v>21</v>
      </c>
      <c r="G65">
        <v>12722</v>
      </c>
      <c r="I65">
        <v>1</v>
      </c>
    </row>
    <row r="66" spans="1:9" x14ac:dyDescent="0.25">
      <c r="A66">
        <v>135</v>
      </c>
      <c r="B66" t="s">
        <v>169</v>
      </c>
      <c r="C66" t="s">
        <v>129</v>
      </c>
      <c r="D66" t="s">
        <v>53</v>
      </c>
      <c r="E66" t="s">
        <v>34</v>
      </c>
      <c r="F66" t="s">
        <v>144</v>
      </c>
      <c r="G66">
        <v>11943</v>
      </c>
      <c r="I66">
        <v>1</v>
      </c>
    </row>
    <row r="67" spans="1:9" x14ac:dyDescent="0.25">
      <c r="A67">
        <v>136</v>
      </c>
      <c r="B67" t="s">
        <v>170</v>
      </c>
      <c r="C67">
        <v>1394</v>
      </c>
      <c r="D67" t="s">
        <v>53</v>
      </c>
      <c r="E67" t="s">
        <v>34</v>
      </c>
      <c r="F67" t="s">
        <v>89</v>
      </c>
      <c r="G67">
        <v>12844</v>
      </c>
      <c r="I67">
        <v>1</v>
      </c>
    </row>
    <row r="68" spans="1:9" x14ac:dyDescent="0.25">
      <c r="A68">
        <v>137</v>
      </c>
      <c r="B68" t="s">
        <v>171</v>
      </c>
      <c r="C68">
        <v>1234</v>
      </c>
      <c r="D68" t="s">
        <v>172</v>
      </c>
      <c r="E68" t="s">
        <v>34</v>
      </c>
      <c r="F68" t="s">
        <v>21</v>
      </c>
      <c r="G68">
        <v>6897</v>
      </c>
      <c r="I68">
        <v>1</v>
      </c>
    </row>
    <row r="69" spans="1:9" x14ac:dyDescent="0.25">
      <c r="A69">
        <v>138</v>
      </c>
      <c r="B69" t="s">
        <v>173</v>
      </c>
      <c r="C69">
        <v>247328</v>
      </c>
      <c r="D69" t="s">
        <v>53</v>
      </c>
      <c r="E69" t="s">
        <v>25</v>
      </c>
      <c r="F69" t="s">
        <v>21</v>
      </c>
      <c r="G69">
        <v>9762</v>
      </c>
      <c r="I69">
        <v>1</v>
      </c>
    </row>
    <row r="70" spans="1:9" x14ac:dyDescent="0.25">
      <c r="A70">
        <v>139</v>
      </c>
      <c r="B70" t="s">
        <v>174</v>
      </c>
      <c r="C70">
        <v>11111111</v>
      </c>
      <c r="D70" t="s">
        <v>175</v>
      </c>
      <c r="E70" t="s">
        <v>34</v>
      </c>
      <c r="F70" t="s">
        <v>144</v>
      </c>
      <c r="G70">
        <v>13164</v>
      </c>
      <c r="I70">
        <v>1</v>
      </c>
    </row>
    <row r="71" spans="1:9" x14ac:dyDescent="0.25">
      <c r="A71">
        <v>140</v>
      </c>
      <c r="B71" t="s">
        <v>176</v>
      </c>
      <c r="C71" t="s">
        <v>129</v>
      </c>
      <c r="D71" t="s">
        <v>177</v>
      </c>
      <c r="E71" t="s">
        <v>34</v>
      </c>
      <c r="F71" t="s">
        <v>13</v>
      </c>
      <c r="G71">
        <v>8537</v>
      </c>
      <c r="I71">
        <v>1</v>
      </c>
    </row>
    <row r="72" spans="1:9" x14ac:dyDescent="0.25">
      <c r="A72">
        <v>141</v>
      </c>
      <c r="B72" t="s">
        <v>178</v>
      </c>
      <c r="C72" t="s">
        <v>129</v>
      </c>
      <c r="D72" t="s">
        <v>53</v>
      </c>
      <c r="E72" t="s">
        <v>34</v>
      </c>
      <c r="F72" t="s">
        <v>21</v>
      </c>
      <c r="G72">
        <v>12602</v>
      </c>
      <c r="I72">
        <v>1</v>
      </c>
    </row>
    <row r="73" spans="1:9" x14ac:dyDescent="0.25">
      <c r="A73">
        <v>142</v>
      </c>
      <c r="B73" t="s">
        <v>179</v>
      </c>
      <c r="C73" t="s">
        <v>129</v>
      </c>
      <c r="D73" t="s">
        <v>180</v>
      </c>
      <c r="E73" t="s">
        <v>34</v>
      </c>
      <c r="F73" t="s">
        <v>21</v>
      </c>
      <c r="G73">
        <v>13270</v>
      </c>
      <c r="I73">
        <v>1</v>
      </c>
    </row>
    <row r="74" spans="1:9" x14ac:dyDescent="0.25">
      <c r="A74">
        <v>143</v>
      </c>
      <c r="B74" t="s">
        <v>181</v>
      </c>
      <c r="C74">
        <v>80916</v>
      </c>
      <c r="D74" t="s">
        <v>53</v>
      </c>
      <c r="E74" t="s">
        <v>34</v>
      </c>
      <c r="F74" t="s">
        <v>89</v>
      </c>
      <c r="G74">
        <v>13204</v>
      </c>
      <c r="I74">
        <v>1</v>
      </c>
    </row>
    <row r="75" spans="1:9" x14ac:dyDescent="0.25">
      <c r="A75">
        <v>144</v>
      </c>
      <c r="B75" t="s">
        <v>182</v>
      </c>
      <c r="C75" t="s">
        <v>129</v>
      </c>
      <c r="D75" t="s">
        <v>183</v>
      </c>
      <c r="E75" t="s">
        <v>34</v>
      </c>
      <c r="F75" t="s">
        <v>21</v>
      </c>
      <c r="G75">
        <v>13367</v>
      </c>
      <c r="I75">
        <v>1</v>
      </c>
    </row>
    <row r="76" spans="1:9" x14ac:dyDescent="0.25">
      <c r="A76">
        <v>145</v>
      </c>
      <c r="B76" t="s">
        <v>184</v>
      </c>
      <c r="C76" t="s">
        <v>129</v>
      </c>
      <c r="D76" t="s">
        <v>185</v>
      </c>
      <c r="E76" t="s">
        <v>69</v>
      </c>
      <c r="F76" t="s">
        <v>21</v>
      </c>
      <c r="G76">
        <v>12834</v>
      </c>
      <c r="I76">
        <v>1</v>
      </c>
    </row>
    <row r="77" spans="1:9" x14ac:dyDescent="0.25">
      <c r="A77">
        <v>146</v>
      </c>
      <c r="B77" t="s">
        <v>186</v>
      </c>
      <c r="C77" t="s">
        <v>129</v>
      </c>
      <c r="D77" t="s">
        <v>187</v>
      </c>
      <c r="E77" t="s">
        <v>34</v>
      </c>
      <c r="F77" t="s">
        <v>21</v>
      </c>
      <c r="G77">
        <v>13107</v>
      </c>
      <c r="I77">
        <v>1</v>
      </c>
    </row>
    <row r="1048557" spans="6:6" x14ac:dyDescent="0.25">
      <c r="F1048557" t="s">
        <v>210</v>
      </c>
    </row>
    <row r="1048558" spans="6:6" x14ac:dyDescent="0.25">
      <c r="F1048558" t="s">
        <v>211</v>
      </c>
    </row>
    <row r="1048559" spans="6:6" x14ac:dyDescent="0.25">
      <c r="F1048559" t="s">
        <v>212</v>
      </c>
    </row>
    <row r="1048560" spans="6:6" x14ac:dyDescent="0.25">
      <c r="F1048560" t="s">
        <v>213</v>
      </c>
    </row>
    <row r="1048561" spans="6:18" x14ac:dyDescent="0.25">
      <c r="F1048561" t="s">
        <v>214</v>
      </c>
    </row>
    <row r="1048562" spans="6:18" x14ac:dyDescent="0.25">
      <c r="F1048562" t="s">
        <v>215</v>
      </c>
    </row>
    <row r="1048563" spans="6:18" x14ac:dyDescent="0.25">
      <c r="F1048563" t="s">
        <v>216</v>
      </c>
      <c r="I1048563" t="s">
        <v>210</v>
      </c>
      <c r="J1048563" t="s">
        <v>211</v>
      </c>
      <c r="K1048563" t="s">
        <v>212</v>
      </c>
      <c r="L1048563" t="s">
        <v>213</v>
      </c>
      <c r="M1048563" t="s">
        <v>214</v>
      </c>
      <c r="N1048563" t="s">
        <v>215</v>
      </c>
      <c r="O1048563" t="s">
        <v>216</v>
      </c>
      <c r="P1048563" t="s">
        <v>217</v>
      </c>
      <c r="Q1048563" t="s">
        <v>218</v>
      </c>
      <c r="R1048563" t="s">
        <v>219</v>
      </c>
    </row>
    <row r="1048564" spans="6:18" x14ac:dyDescent="0.25">
      <c r="F1048564" t="s">
        <v>217</v>
      </c>
    </row>
    <row r="1048565" spans="6:18" x14ac:dyDescent="0.25">
      <c r="F1048565" t="s">
        <v>218</v>
      </c>
    </row>
    <row r="1048566" spans="6:18" x14ac:dyDescent="0.25">
      <c r="F1048566"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G15" sqref="G15"/>
    </sheetView>
  </sheetViews>
  <sheetFormatPr defaultRowHeight="15" x14ac:dyDescent="0.25"/>
  <cols>
    <col min="1" max="1" width="17.85546875" style="1" bestFit="1" customWidth="1"/>
    <col min="2" max="2" width="21.42578125" customWidth="1"/>
    <col min="3" max="3" width="35.140625" bestFit="1" customWidth="1"/>
    <col min="4" max="4" width="22.140625" style="1" customWidth="1"/>
    <col min="5" max="5" width="18.7109375" style="1" customWidth="1"/>
  </cols>
  <sheetData>
    <row r="1" spans="1:5" x14ac:dyDescent="0.25">
      <c r="A1" s="6" t="s">
        <v>0</v>
      </c>
      <c r="B1" s="7" t="s">
        <v>1</v>
      </c>
      <c r="C1" s="7" t="s">
        <v>3</v>
      </c>
      <c r="D1" s="6" t="s">
        <v>6</v>
      </c>
      <c r="E1" s="6" t="s">
        <v>7</v>
      </c>
    </row>
    <row r="2" spans="1:5" x14ac:dyDescent="0.25">
      <c r="A2" s="4">
        <v>51</v>
      </c>
      <c r="B2" s="5" t="s">
        <v>39</v>
      </c>
      <c r="C2" s="5" t="s">
        <v>40</v>
      </c>
      <c r="D2" s="4"/>
      <c r="E2" s="4" t="s">
        <v>188</v>
      </c>
    </row>
    <row r="3" spans="1:5" x14ac:dyDescent="0.25">
      <c r="A3" s="4">
        <v>52</v>
      </c>
      <c r="B3" s="5" t="s">
        <v>41</v>
      </c>
      <c r="C3" s="5" t="s">
        <v>40</v>
      </c>
      <c r="D3" s="4"/>
      <c r="E3" s="4" t="s">
        <v>188</v>
      </c>
    </row>
    <row r="4" spans="1:5" x14ac:dyDescent="0.25">
      <c r="A4" s="2">
        <v>63</v>
      </c>
      <c r="B4" s="3" t="s">
        <v>63</v>
      </c>
      <c r="C4" s="3" t="s">
        <v>65</v>
      </c>
      <c r="D4" s="2">
        <v>0</v>
      </c>
      <c r="E4" s="2" t="s">
        <v>189</v>
      </c>
    </row>
    <row r="5" spans="1:5" x14ac:dyDescent="0.25">
      <c r="A5" s="4">
        <v>71</v>
      </c>
      <c r="B5" s="5" t="s">
        <v>81</v>
      </c>
      <c r="C5" s="5" t="s">
        <v>83</v>
      </c>
      <c r="D5" s="4"/>
      <c r="E5" s="4" t="s">
        <v>190</v>
      </c>
    </row>
    <row r="6" spans="1:5" x14ac:dyDescent="0.25">
      <c r="A6" s="2">
        <v>73</v>
      </c>
      <c r="B6" s="3" t="s">
        <v>85</v>
      </c>
      <c r="C6" s="3" t="s">
        <v>86</v>
      </c>
      <c r="D6" s="2">
        <v>0</v>
      </c>
      <c r="E6" s="2" t="s">
        <v>191</v>
      </c>
    </row>
    <row r="7" spans="1:5" x14ac:dyDescent="0.25">
      <c r="A7" s="2">
        <v>83</v>
      </c>
      <c r="B7" s="3" t="s">
        <v>93</v>
      </c>
      <c r="C7" s="3" t="s">
        <v>92</v>
      </c>
      <c r="D7" s="2">
        <v>0</v>
      </c>
      <c r="E7" s="2" t="s">
        <v>192</v>
      </c>
    </row>
    <row r="8" spans="1:5" x14ac:dyDescent="0.25">
      <c r="A8" s="4">
        <v>88</v>
      </c>
      <c r="B8" s="5" t="s">
        <v>100</v>
      </c>
      <c r="C8" s="5" t="s">
        <v>102</v>
      </c>
      <c r="D8" s="4"/>
      <c r="E8" s="4" t="s">
        <v>188</v>
      </c>
    </row>
    <row r="9" spans="1:5" x14ac:dyDescent="0.25">
      <c r="A9" s="2">
        <v>93</v>
      </c>
      <c r="B9" s="3" t="s">
        <v>110</v>
      </c>
      <c r="C9" s="3" t="s">
        <v>111</v>
      </c>
      <c r="D9" s="2">
        <v>0</v>
      </c>
      <c r="E9" s="2" t="s">
        <v>193</v>
      </c>
    </row>
    <row r="10" spans="1:5" x14ac:dyDescent="0.25">
      <c r="A10" s="2">
        <v>97</v>
      </c>
      <c r="B10" s="3" t="s">
        <v>117</v>
      </c>
      <c r="C10" s="3" t="s">
        <v>118</v>
      </c>
      <c r="D10" s="2">
        <v>0</v>
      </c>
      <c r="E10" s="2" t="s">
        <v>194</v>
      </c>
    </row>
    <row r="11" spans="1:5" x14ac:dyDescent="0.25">
      <c r="A11" s="2">
        <v>101</v>
      </c>
      <c r="B11" s="3" t="s">
        <v>122</v>
      </c>
      <c r="C11" s="3" t="s">
        <v>53</v>
      </c>
      <c r="D11" s="2">
        <v>0</v>
      </c>
      <c r="E11" s="2" t="s">
        <v>195</v>
      </c>
    </row>
    <row r="12" spans="1:5" x14ac:dyDescent="0.25">
      <c r="A12" s="4">
        <v>103</v>
      </c>
      <c r="B12" s="5" t="s">
        <v>125</v>
      </c>
      <c r="C12" s="5" t="s">
        <v>127</v>
      </c>
      <c r="D12" s="4"/>
      <c r="E12" s="4" t="s">
        <v>188</v>
      </c>
    </row>
    <row r="13" spans="1:5" x14ac:dyDescent="0.25">
      <c r="A13" s="2">
        <v>110</v>
      </c>
      <c r="B13" s="3" t="s">
        <v>133</v>
      </c>
      <c r="C13" s="3" t="s">
        <v>134</v>
      </c>
      <c r="D13" s="2">
        <v>0</v>
      </c>
      <c r="E13" s="2" t="s">
        <v>196</v>
      </c>
    </row>
    <row r="14" spans="1:5" x14ac:dyDescent="0.25">
      <c r="A14" s="2">
        <v>112</v>
      </c>
      <c r="B14" s="3" t="s">
        <v>138</v>
      </c>
      <c r="C14" s="3" t="s">
        <v>53</v>
      </c>
      <c r="D14" s="2">
        <v>0</v>
      </c>
      <c r="E14" s="2" t="s">
        <v>197</v>
      </c>
    </row>
    <row r="15" spans="1:5" x14ac:dyDescent="0.25">
      <c r="A15" s="2">
        <v>113</v>
      </c>
      <c r="B15" s="3" t="s">
        <v>141</v>
      </c>
      <c r="C15" s="3" t="s">
        <v>143</v>
      </c>
      <c r="D15" s="2">
        <v>0</v>
      </c>
      <c r="E15" s="2" t="s">
        <v>198</v>
      </c>
    </row>
    <row r="16" spans="1:5" x14ac:dyDescent="0.25">
      <c r="A16" s="2">
        <v>114</v>
      </c>
      <c r="B16" s="3" t="s">
        <v>146</v>
      </c>
      <c r="C16" s="3" t="s">
        <v>147</v>
      </c>
      <c r="D16" s="2">
        <v>0</v>
      </c>
      <c r="E16" s="2" t="s">
        <v>199</v>
      </c>
    </row>
    <row r="17" spans="1:5" x14ac:dyDescent="0.25">
      <c r="A17" s="2">
        <v>122</v>
      </c>
      <c r="B17" s="3" t="s">
        <v>156</v>
      </c>
      <c r="C17" s="3" t="s">
        <v>157</v>
      </c>
      <c r="D17" s="2">
        <v>0</v>
      </c>
      <c r="E17" s="2" t="s">
        <v>200</v>
      </c>
    </row>
    <row r="18" spans="1:5" x14ac:dyDescent="0.25">
      <c r="A18" s="2">
        <v>126</v>
      </c>
      <c r="B18" s="3" t="s">
        <v>163</v>
      </c>
      <c r="C18" s="3" t="s">
        <v>53</v>
      </c>
      <c r="D18" s="2">
        <v>0</v>
      </c>
      <c r="E18" s="2"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CI_</vt:lpstr>
      <vt:lpstr>usuarios totales</vt:lpstr>
      <vt:lpstr>Sheet1</vt:lpstr>
      <vt:lpstr>usuario_para_baja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 DE LA ROSA</dc:creator>
  <cp:lastModifiedBy>AX DE LA ROSA</cp:lastModifiedBy>
  <dcterms:created xsi:type="dcterms:W3CDTF">2020-03-24T16:55:04Z</dcterms:created>
  <dcterms:modified xsi:type="dcterms:W3CDTF">2020-03-27T18:58:52Z</dcterms:modified>
</cp:coreProperties>
</file>