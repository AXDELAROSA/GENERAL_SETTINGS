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0490" windowHeight="7620" activeTab="1"/>
  </bookViews>
  <sheets>
    <sheet name="TABLE" sheetId="2" r:id="rId1"/>
    <sheet name="CI_" sheetId="1" r:id="rId2"/>
  </sheets>
  <definedNames>
    <definedName name="_xlnm._FilterDatabase" localSheetId="1" hidden="1">CI_!$A$1:$P$11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1" i="1" l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4" i="1"/>
  <c r="I5" i="1"/>
  <c r="I6" i="1"/>
  <c r="I7" i="1"/>
  <c r="I8" i="1"/>
  <c r="A1" i="2" l="1"/>
  <c r="I3" i="1" l="1"/>
  <c r="M2" i="1" l="1"/>
  <c r="N1" i="1" l="1"/>
  <c r="P1" i="1" s="1"/>
  <c r="M8" i="1" l="1"/>
  <c r="M7" i="1"/>
  <c r="M4" i="1"/>
  <c r="M3" i="1"/>
  <c r="M6" i="1"/>
  <c r="M5" i="1"/>
</calcChain>
</file>

<file path=xl/sharedStrings.xml><?xml version="1.0" encoding="utf-8"?>
<sst xmlns="http://schemas.openxmlformats.org/spreadsheetml/2006/main" count="506" uniqueCount="480">
  <si>
    <t>L_DEBUG</t>
  </si>
  <si>
    <t>K_SISTEMA_EXE</t>
  </si>
  <si>
    <t>K_USUARIO_ACCION</t>
  </si>
  <si>
    <t>X</t>
  </si>
  <si>
    <t>Tipo Dato</t>
  </si>
  <si>
    <t>PK</t>
  </si>
  <si>
    <t xml:space="preserve">] </t>
  </si>
  <si>
    <t>-</t>
  </si>
  <si>
    <t>???</t>
  </si>
  <si>
    <t>EXECUTE [dbo].[</t>
  </si>
  <si>
    <t>[INT]</t>
  </si>
  <si>
    <t>Nombre Campo</t>
  </si>
  <si>
    <t xml:space="preserve">[VARCHAR] (100) </t>
  </si>
  <si>
    <t>[VARCHAR] (10)</t>
  </si>
  <si>
    <t xml:space="preserve">[VARCHAR] (255) </t>
  </si>
  <si>
    <t>[K_COUNTRY]</t>
  </si>
  <si>
    <t>[D_COUNTRY]</t>
  </si>
  <si>
    <t>[S_COUNTRY]</t>
  </si>
  <si>
    <t>[O_COUNTRY]</t>
  </si>
  <si>
    <t>[C_COUNTRY]</t>
  </si>
  <si>
    <t>[L_COUNTRY]</t>
  </si>
  <si>
    <t>[K_CONTINENTE]</t>
  </si>
  <si>
    <t>República de Angola</t>
  </si>
  <si>
    <t>República Democrática y Popular de Argelia</t>
  </si>
  <si>
    <t>República de Benín</t>
  </si>
  <si>
    <t>República de Botswana</t>
  </si>
  <si>
    <t>Burkina Faso</t>
  </si>
  <si>
    <t>República de Burundi</t>
  </si>
  <si>
    <t>República de Cabo Verde</t>
  </si>
  <si>
    <t>República de Camerún</t>
  </si>
  <si>
    <t>República de Ruanda</t>
  </si>
  <si>
    <t>República Popular del Congo</t>
  </si>
  <si>
    <t>República de Costa de Marfi l</t>
  </si>
  <si>
    <t>República de Chad</t>
  </si>
  <si>
    <t>República de Djibouti</t>
  </si>
  <si>
    <t>República Árabe deEgipto</t>
  </si>
  <si>
    <t>Estado de Eritrea</t>
  </si>
  <si>
    <t>República Federal Democrática de Etiopía</t>
  </si>
  <si>
    <t>República Gabonesa</t>
  </si>
  <si>
    <t>República de Gambia</t>
  </si>
  <si>
    <t>República de Ghana</t>
  </si>
  <si>
    <t>República de Guinea</t>
  </si>
  <si>
    <t>República de Guinea Bissau</t>
  </si>
  <si>
    <t>República de Guinea Ecuatoria</t>
  </si>
  <si>
    <t>República de Kenia</t>
  </si>
  <si>
    <t>Reino de Lesotho</t>
  </si>
  <si>
    <t>República de Liberia</t>
  </si>
  <si>
    <t>Libia</t>
  </si>
  <si>
    <t>República de Madagascar</t>
  </si>
  <si>
    <t>República de Malawi</t>
  </si>
  <si>
    <t>República de Malí</t>
  </si>
  <si>
    <t>Reino de Marruecos</t>
  </si>
  <si>
    <t>República de Mauricio</t>
  </si>
  <si>
    <t>República Islámica de Maurita</t>
  </si>
  <si>
    <t>Islas Anglonormandas</t>
  </si>
  <si>
    <t>República de Mozambique</t>
  </si>
  <si>
    <t>República de Namibia</t>
  </si>
  <si>
    <t>República de Níger</t>
  </si>
  <si>
    <t>República Federal de Nigeria</t>
  </si>
  <si>
    <t>República Centroafricana</t>
  </si>
  <si>
    <t>Colectividad territorial de San Pedro y Miquelón</t>
  </si>
  <si>
    <t>Isla Santa Helena</t>
  </si>
  <si>
    <t>República Democrática de Santo Tome y Príncipe</t>
  </si>
  <si>
    <t>República de Senegal</t>
  </si>
  <si>
    <t>República de Isla Seychelles</t>
  </si>
  <si>
    <t>República de Sierra Leona</t>
  </si>
  <si>
    <t>Unión de las Comoras</t>
  </si>
  <si>
    <t>República de Somalia</t>
  </si>
  <si>
    <t>República de Sudáfrica</t>
  </si>
  <si>
    <t>Reino de Suazilandia</t>
  </si>
  <si>
    <t>República Unida de Tanzania</t>
  </si>
  <si>
    <t>República Togolesa</t>
  </si>
  <si>
    <t>República de Túnez</t>
  </si>
  <si>
    <t>República de Uganda</t>
  </si>
  <si>
    <t>República de Zambia</t>
  </si>
  <si>
    <t>República de Zimbabwe</t>
  </si>
  <si>
    <t>República Democrática del Congo</t>
  </si>
  <si>
    <t>República Árabe Saharaui Democrática</t>
  </si>
  <si>
    <t>República de Sudán</t>
  </si>
  <si>
    <t>República de Sudán del Sur</t>
  </si>
  <si>
    <t>Anguila</t>
  </si>
  <si>
    <t>Antigua y Barbuda</t>
  </si>
  <si>
    <t>República Argentina</t>
  </si>
  <si>
    <t>Aruba</t>
  </si>
  <si>
    <t>Commonwealth de las Bahamas</t>
  </si>
  <si>
    <t>Barbados</t>
  </si>
  <si>
    <t>Belice</t>
  </si>
  <si>
    <t>Islas Bermudas</t>
  </si>
  <si>
    <t>República de Bolivia</t>
  </si>
  <si>
    <t>República Federativa de Brasil</t>
  </si>
  <si>
    <t>Islas Caimán</t>
  </si>
  <si>
    <t>Canadá</t>
  </si>
  <si>
    <t>República de Colombia</t>
  </si>
  <si>
    <t>República de Costa rica</t>
  </si>
  <si>
    <t>República de Cuba</t>
  </si>
  <si>
    <t>República de Chile</t>
  </si>
  <si>
    <t>Commonwealth de Dominica</t>
  </si>
  <si>
    <t>República de Ecuador</t>
  </si>
  <si>
    <t>República de El Salvador</t>
  </si>
  <si>
    <t>Estados Unidos de América</t>
  </si>
  <si>
    <t>USA</t>
  </si>
  <si>
    <t>Granada</t>
  </si>
  <si>
    <t>Groenlandia</t>
  </si>
  <si>
    <t>Departamento de Guadalupe</t>
  </si>
  <si>
    <t>República de Guatemala</t>
  </si>
  <si>
    <t>República Cooperativa de Guyana</t>
  </si>
  <si>
    <t>Guayana Francesa</t>
  </si>
  <si>
    <t>República de Haití</t>
  </si>
  <si>
    <t>República de Honduras</t>
  </si>
  <si>
    <t>Jamaica</t>
  </si>
  <si>
    <t>Islas Malvinas</t>
  </si>
  <si>
    <t>Isla de Montserrat</t>
  </si>
  <si>
    <t>República de Nicaragua</t>
  </si>
  <si>
    <t>República de Panamá</t>
  </si>
  <si>
    <t>República de Paraguay</t>
  </si>
  <si>
    <t>República de Perú</t>
  </si>
  <si>
    <t>Estado Libre Asociado de Puerto Rico</t>
  </si>
  <si>
    <t>República Dominicana</t>
  </si>
  <si>
    <t>Federación de San Cristóbal y Nieves</t>
  </si>
  <si>
    <t>Islas de Man</t>
  </si>
  <si>
    <t>San Vicente y las Granadinas</t>
  </si>
  <si>
    <t>Santa Lucía</t>
  </si>
  <si>
    <t>República de Surinam</t>
  </si>
  <si>
    <t>República de Trinidad y Tobago</t>
  </si>
  <si>
    <t>Islas Turcas y Caicos</t>
  </si>
  <si>
    <t>República Oriental del Uruguay</t>
  </si>
  <si>
    <t>Islas Vírgenes de los Estados Unidos</t>
  </si>
  <si>
    <t>Islas Vírgenes Británicas</t>
  </si>
  <si>
    <t>República Boliviana de Venezuela</t>
  </si>
  <si>
    <t>Curazao</t>
  </si>
  <si>
    <t>Isla de Saint Marteen</t>
  </si>
  <si>
    <t>Bonaire, San Eustaquio, Saba</t>
  </si>
  <si>
    <t>Estados Unidos Mexicanos</t>
  </si>
  <si>
    <t>Estado Islámico de Afganistán</t>
  </si>
  <si>
    <t>Reino de Arabia Saudita</t>
  </si>
  <si>
    <t>República de Armenia</t>
  </si>
  <si>
    <t>República de Azerbaiyán</t>
  </si>
  <si>
    <t>Reino de Bahréin</t>
  </si>
  <si>
    <t>República Popular de Bangladesh</t>
  </si>
  <si>
    <t>Reino de Bhutan</t>
  </si>
  <si>
    <t>Estado de Brunei Darussalam</t>
  </si>
  <si>
    <t>Reino de Camboya</t>
  </si>
  <si>
    <t>República Popular democrática de Corea</t>
  </si>
  <si>
    <t>República de Corea</t>
  </si>
  <si>
    <t>República Popular China</t>
  </si>
  <si>
    <t>Taiwán</t>
  </si>
  <si>
    <t>República de Chipre</t>
  </si>
  <si>
    <t>Emiratos Árabes Unidos</t>
  </si>
  <si>
    <t>República de Filipinas</t>
  </si>
  <si>
    <t>República de Georgia</t>
  </si>
  <si>
    <t>República de la India</t>
  </si>
  <si>
    <t>República de Indonesia</t>
  </si>
  <si>
    <t>República Islámica de Irán</t>
  </si>
  <si>
    <t>República de Iraq</t>
  </si>
  <si>
    <t>Estado de Israel</t>
  </si>
  <si>
    <t>Estado de Japón</t>
  </si>
  <si>
    <t>Reino Hachemí de Jordania</t>
  </si>
  <si>
    <t>República de Kazajstán</t>
  </si>
  <si>
    <t>República Kirguisa</t>
  </si>
  <si>
    <t>Estado de Kuwait</t>
  </si>
  <si>
    <t>República Libanesa</t>
  </si>
  <si>
    <t>Malasia</t>
  </si>
  <si>
    <t>República de Maldivas</t>
  </si>
  <si>
    <t>Mongolia</t>
  </si>
  <si>
    <t>Unión de Myanmar</t>
  </si>
  <si>
    <t>República Federal Democrática de Nepal</t>
  </si>
  <si>
    <t>Sultanato de Omán</t>
  </si>
  <si>
    <t>República Islámica de Pakistán</t>
  </si>
  <si>
    <t>Estado de Qatar</t>
  </si>
  <si>
    <t>República Democrática Popular de Laos</t>
  </si>
  <si>
    <t>República de Singapur</t>
  </si>
  <si>
    <t>República árabe Siria</t>
  </si>
  <si>
    <t>República Democrática Socialista Sri Lanka</t>
  </si>
  <si>
    <t>Reino de Tailandia</t>
  </si>
  <si>
    <t>República de Tayikistán</t>
  </si>
  <si>
    <t>Turkmenistán</t>
  </si>
  <si>
    <t>República de Turquía</t>
  </si>
  <si>
    <t>República de Uzbekistán</t>
  </si>
  <si>
    <t>República Socialista de Vietnam</t>
  </si>
  <si>
    <t>República de Yemen</t>
  </si>
  <si>
    <t>República de Palaos</t>
  </si>
  <si>
    <t>República Democrática de Timor Oriental</t>
  </si>
  <si>
    <t>Estado de Palestina</t>
  </si>
  <si>
    <t>República de Albania</t>
  </si>
  <si>
    <t>República Federal de Alemania</t>
  </si>
  <si>
    <t>Principado de Andorra</t>
  </si>
  <si>
    <t>República de Austria</t>
  </si>
  <si>
    <t>República de Bielorrusia</t>
  </si>
  <si>
    <t>Reino de Bélgica</t>
  </si>
  <si>
    <t>Bosnia y Herzegovina</t>
  </si>
  <si>
    <t>República de Bulgaria</t>
  </si>
  <si>
    <t>República de Croacia</t>
  </si>
  <si>
    <t>Reino de Dinamarca</t>
  </si>
  <si>
    <t>República Eslovaca</t>
  </si>
  <si>
    <t>República de Eslovenia</t>
  </si>
  <si>
    <t>Reino de España</t>
  </si>
  <si>
    <t>República de Estonia</t>
  </si>
  <si>
    <t>Islas Feroe</t>
  </si>
  <si>
    <t>República de Finlandia</t>
  </si>
  <si>
    <t>República Francesa</t>
  </si>
  <si>
    <t>Gibraltar</t>
  </si>
  <si>
    <t>República Helénica</t>
  </si>
  <si>
    <t>República de Hungría</t>
  </si>
  <si>
    <t>República de Irlanda</t>
  </si>
  <si>
    <t>República de Islandia</t>
  </si>
  <si>
    <t>República Italiana</t>
  </si>
  <si>
    <t>República de Letonia</t>
  </si>
  <si>
    <t>Principado de Liechtenstein</t>
  </si>
  <si>
    <t>República de Lituania</t>
  </si>
  <si>
    <t>Gran Ducado de Luxemburgo</t>
  </si>
  <si>
    <t>Antigua República Yugoslava de Macedonia</t>
  </si>
  <si>
    <t>República de Malta</t>
  </si>
  <si>
    <t>República de Moldavia</t>
  </si>
  <si>
    <t>Principado de Mónaco</t>
  </si>
  <si>
    <t>Reino de Noruega</t>
  </si>
  <si>
    <t>Reino de los Países Bajos</t>
  </si>
  <si>
    <t>República de Polonia</t>
  </si>
  <si>
    <t>República Portuguesa</t>
  </si>
  <si>
    <t>Reino Unido de Gran Bretaña e Irlanda</t>
  </si>
  <si>
    <t>República Checa</t>
  </si>
  <si>
    <t>Rumania</t>
  </si>
  <si>
    <t>Federación de Rusia</t>
  </si>
  <si>
    <t>República de San Marino</t>
  </si>
  <si>
    <t>Estado de la Ciudad del Vaticano</t>
  </si>
  <si>
    <t>Reino de Suecia</t>
  </si>
  <si>
    <t>Confederación Suiza</t>
  </si>
  <si>
    <t>Ucrania</t>
  </si>
  <si>
    <t>República de Serbia</t>
  </si>
  <si>
    <t>República de Montenegro</t>
  </si>
  <si>
    <t>Commonwealth de Australia</t>
  </si>
  <si>
    <t>Islas Cook</t>
  </si>
  <si>
    <t>Guam</t>
  </si>
  <si>
    <t>República de Kiribati</t>
  </si>
  <si>
    <t>Islas Marianas del Norte</t>
  </si>
  <si>
    <t>República de las Islas Marsha</t>
  </si>
  <si>
    <t>Estados Federados de Micronesia</t>
  </si>
  <si>
    <t>República de Nauru</t>
  </si>
  <si>
    <t>Niue</t>
  </si>
  <si>
    <t>Nueva Zelanda</t>
  </si>
  <si>
    <t>Isla Wake</t>
  </si>
  <si>
    <t>Estado Independiente de Papúa Nueva Guinea</t>
  </si>
  <si>
    <t>islas Pitcairn</t>
  </si>
  <si>
    <t>Islas Salomón</t>
  </si>
  <si>
    <t>Estado Independiente de Samoa</t>
  </si>
  <si>
    <t>Samoa Americana</t>
  </si>
  <si>
    <t>Tokelau</t>
  </si>
  <si>
    <t>Reino de Tonga</t>
  </si>
  <si>
    <t>Tuvalu</t>
  </si>
  <si>
    <t>República de Vanuatu</t>
  </si>
  <si>
    <t>Territorio de las Islas Walli</t>
  </si>
  <si>
    <t>República de Las Islas Fiji</t>
  </si>
  <si>
    <t>(NO-COUNTRY)</t>
  </si>
  <si>
    <t>( N/CT )</t>
  </si>
  <si>
    <t>ANGOL</t>
  </si>
  <si>
    <t>ARGEL</t>
  </si>
  <si>
    <t>BENÍN</t>
  </si>
  <si>
    <t>BOTSW</t>
  </si>
  <si>
    <t>BURKI</t>
  </si>
  <si>
    <t>BURUN</t>
  </si>
  <si>
    <t>CABO</t>
  </si>
  <si>
    <t>CAMER</t>
  </si>
  <si>
    <t>RUAND</t>
  </si>
  <si>
    <t>PCONGO</t>
  </si>
  <si>
    <t>CMARF</t>
  </si>
  <si>
    <t>CHAD</t>
  </si>
  <si>
    <t>DJIBO</t>
  </si>
  <si>
    <t>EERIT</t>
  </si>
  <si>
    <t>ETIOP</t>
  </si>
  <si>
    <t>GABON</t>
  </si>
  <si>
    <t>GAMBI</t>
  </si>
  <si>
    <t>GHANA</t>
  </si>
  <si>
    <t>GUINE</t>
  </si>
  <si>
    <t>GBISS</t>
  </si>
  <si>
    <t>GECUA</t>
  </si>
  <si>
    <t>KENIA</t>
  </si>
  <si>
    <t>LESOT</t>
  </si>
  <si>
    <t>LIBER</t>
  </si>
  <si>
    <t>LIBIA</t>
  </si>
  <si>
    <t>MADAG</t>
  </si>
  <si>
    <t>MALAW</t>
  </si>
  <si>
    <t>MALÍ</t>
  </si>
  <si>
    <t>MARRU</t>
  </si>
  <si>
    <t>MAURI</t>
  </si>
  <si>
    <t>MAURC</t>
  </si>
  <si>
    <t>ANGLO</t>
  </si>
  <si>
    <t>MOZAM</t>
  </si>
  <si>
    <t>NAMIB</t>
  </si>
  <si>
    <t>NÍGER</t>
  </si>
  <si>
    <t>NIGRIA</t>
  </si>
  <si>
    <t>CAFRI</t>
  </si>
  <si>
    <t>SPEDR</t>
  </si>
  <si>
    <t>ISELE</t>
  </si>
  <si>
    <t>STYPR</t>
  </si>
  <si>
    <t>SENEG</t>
  </si>
  <si>
    <t>SEYCH</t>
  </si>
  <si>
    <t>SLEON</t>
  </si>
  <si>
    <t>UCOMO</t>
  </si>
  <si>
    <t>SOMAL</t>
  </si>
  <si>
    <t>SUDÁF</t>
  </si>
  <si>
    <t>RSUAZ</t>
  </si>
  <si>
    <t>TANZA</t>
  </si>
  <si>
    <t>TOGOL</t>
  </si>
  <si>
    <t>TÚNEZ</t>
  </si>
  <si>
    <t>UGAND</t>
  </si>
  <si>
    <t>ZAMBI</t>
  </si>
  <si>
    <t>ZIMBA</t>
  </si>
  <si>
    <t>DCONGO</t>
  </si>
  <si>
    <t>ARABE</t>
  </si>
  <si>
    <t>SUDÁN</t>
  </si>
  <si>
    <t>SUDSU</t>
  </si>
  <si>
    <t>ANGUI</t>
  </si>
  <si>
    <t>AYBAR</t>
  </si>
  <si>
    <t>ARGEN</t>
  </si>
  <si>
    <t>ARUBA</t>
  </si>
  <si>
    <t>BAHAM</t>
  </si>
  <si>
    <t>BARBA</t>
  </si>
  <si>
    <t>BELIC</t>
  </si>
  <si>
    <t>IBERM</t>
  </si>
  <si>
    <t>BOLIV</t>
  </si>
  <si>
    <t>BRASI</t>
  </si>
  <si>
    <t>ICAIM</t>
  </si>
  <si>
    <t>CANAD</t>
  </si>
  <si>
    <t>COLOM</t>
  </si>
  <si>
    <t>CRICA</t>
  </si>
  <si>
    <t>CUBA</t>
  </si>
  <si>
    <t>CHILE</t>
  </si>
  <si>
    <t>DMNCA</t>
  </si>
  <si>
    <t>ECUAD</t>
  </si>
  <si>
    <t>SALVA</t>
  </si>
  <si>
    <t>GRANA</t>
  </si>
  <si>
    <t>GROEN</t>
  </si>
  <si>
    <t>GDLPE</t>
  </si>
  <si>
    <t>GUATE</t>
  </si>
  <si>
    <t>GUYAN</t>
  </si>
  <si>
    <t>GFRAN</t>
  </si>
  <si>
    <t>HAITÍ</t>
  </si>
  <si>
    <t>HONDU</t>
  </si>
  <si>
    <t>JAMAI</t>
  </si>
  <si>
    <t>IMALV</t>
  </si>
  <si>
    <t>IMONT</t>
  </si>
  <si>
    <t>NICAR</t>
  </si>
  <si>
    <t>PANAM</t>
  </si>
  <si>
    <t>PARAG</t>
  </si>
  <si>
    <t>PERÚ</t>
  </si>
  <si>
    <t>PRICO</t>
  </si>
  <si>
    <t>RDOMI</t>
  </si>
  <si>
    <t>SCYNI</t>
  </si>
  <si>
    <t>IMAN</t>
  </si>
  <si>
    <t>SVYGR</t>
  </si>
  <si>
    <t>STALU</t>
  </si>
  <si>
    <t>SURIN</t>
  </si>
  <si>
    <t>TYTOB</t>
  </si>
  <si>
    <t>ITURC</t>
  </si>
  <si>
    <t>URUGU</t>
  </si>
  <si>
    <t>IVÍES</t>
  </si>
  <si>
    <t>IVÍBR</t>
  </si>
  <si>
    <t>VENEZ</t>
  </si>
  <si>
    <t>CURAZ</t>
  </si>
  <si>
    <t>ISTMA</t>
  </si>
  <si>
    <t>BEUST</t>
  </si>
  <si>
    <t>AFGAN</t>
  </si>
  <si>
    <t>ASAUD</t>
  </si>
  <si>
    <t>ARMEN</t>
  </si>
  <si>
    <t>AZERB</t>
  </si>
  <si>
    <t>RBAHR</t>
  </si>
  <si>
    <t>BANGL</t>
  </si>
  <si>
    <t>BHUTA</t>
  </si>
  <si>
    <t>BRUNE</t>
  </si>
  <si>
    <t>CAMBO</t>
  </si>
  <si>
    <t>RCORE</t>
  </si>
  <si>
    <t>COREA</t>
  </si>
  <si>
    <t>CHINA</t>
  </si>
  <si>
    <t>TAIWA</t>
  </si>
  <si>
    <t>CHIPR</t>
  </si>
  <si>
    <t>EAUNI</t>
  </si>
  <si>
    <t>FILIP</t>
  </si>
  <si>
    <t>GEORG</t>
  </si>
  <si>
    <t>INDIA</t>
  </si>
  <si>
    <t>INDON</t>
  </si>
  <si>
    <t>IRÁN</t>
  </si>
  <si>
    <t>IRAQ</t>
  </si>
  <si>
    <t>ISRAE</t>
  </si>
  <si>
    <t>JAPÓN</t>
  </si>
  <si>
    <t>JORDA</t>
  </si>
  <si>
    <t>KAZAJ</t>
  </si>
  <si>
    <t>KIRGU</t>
  </si>
  <si>
    <t>KUWAI</t>
  </si>
  <si>
    <t>LIBAN</t>
  </si>
  <si>
    <t>MALAS</t>
  </si>
  <si>
    <t>MALDI</t>
  </si>
  <si>
    <t>MONGOL</t>
  </si>
  <si>
    <t>MYANM</t>
  </si>
  <si>
    <t>NEPAL</t>
  </si>
  <si>
    <t>OMÁN</t>
  </si>
  <si>
    <t>PAKIS</t>
  </si>
  <si>
    <t>QATAR</t>
  </si>
  <si>
    <t>LAOS</t>
  </si>
  <si>
    <t>SINGA</t>
  </si>
  <si>
    <t>SIRIA</t>
  </si>
  <si>
    <t>SRILA</t>
  </si>
  <si>
    <t>TAILA</t>
  </si>
  <si>
    <t>TAYIK</t>
  </si>
  <si>
    <t>TURKE</t>
  </si>
  <si>
    <t>TURQU</t>
  </si>
  <si>
    <t>UZBEK</t>
  </si>
  <si>
    <t>VIETN</t>
  </si>
  <si>
    <t>YEMEN</t>
  </si>
  <si>
    <t>PALAO</t>
  </si>
  <si>
    <t>TIMOR</t>
  </si>
  <si>
    <t>PALES</t>
  </si>
  <si>
    <t>ALBAN</t>
  </si>
  <si>
    <t>ALEMA</t>
  </si>
  <si>
    <t>ANDOR</t>
  </si>
  <si>
    <t>AUSTR</t>
  </si>
  <si>
    <t>BIELO</t>
  </si>
  <si>
    <t>BELGI</t>
  </si>
  <si>
    <t>BSNHE</t>
  </si>
  <si>
    <t>BULGA</t>
  </si>
  <si>
    <t>CROAC</t>
  </si>
  <si>
    <t>DINAM</t>
  </si>
  <si>
    <t>SLVAC</t>
  </si>
  <si>
    <t>SLOVN</t>
  </si>
  <si>
    <t>ESPAÑ</t>
  </si>
  <si>
    <t>ESTON</t>
  </si>
  <si>
    <t>FEROE</t>
  </si>
  <si>
    <t>FINLA</t>
  </si>
  <si>
    <t>FRANC</t>
  </si>
  <si>
    <t>GIBRA</t>
  </si>
  <si>
    <t>HELEN</t>
  </si>
  <si>
    <t>HUNGR</t>
  </si>
  <si>
    <t>IRLAN</t>
  </si>
  <si>
    <t>ISLAN</t>
  </si>
  <si>
    <t>ITALI</t>
  </si>
  <si>
    <t>LETON</t>
  </si>
  <si>
    <t>LIECH</t>
  </si>
  <si>
    <t>LITUA</t>
  </si>
  <si>
    <t>LUXEM</t>
  </si>
  <si>
    <t>MACED</t>
  </si>
  <si>
    <t>MALTA</t>
  </si>
  <si>
    <t>MOLDA</t>
  </si>
  <si>
    <t>MÓNAC</t>
  </si>
  <si>
    <t>NORUE</t>
  </si>
  <si>
    <t>PBAJO</t>
  </si>
  <si>
    <t>POLON</t>
  </si>
  <si>
    <t>PORTU</t>
  </si>
  <si>
    <t>RUNID</t>
  </si>
  <si>
    <t>CHECA</t>
  </si>
  <si>
    <t>RUMAN</t>
  </si>
  <si>
    <t>RUSIA</t>
  </si>
  <si>
    <t>SMARI</t>
  </si>
  <si>
    <t>VATIC</t>
  </si>
  <si>
    <t>SUECI</t>
  </si>
  <si>
    <t>SUIZA</t>
  </si>
  <si>
    <t>UCRAN</t>
  </si>
  <si>
    <t>SERBI</t>
  </si>
  <si>
    <t>MONTE</t>
  </si>
  <si>
    <t>ASTRL</t>
  </si>
  <si>
    <t>ICOOK</t>
  </si>
  <si>
    <t>GUAM</t>
  </si>
  <si>
    <t>KIRIB</t>
  </si>
  <si>
    <t>IMARN</t>
  </si>
  <si>
    <t>IMARS</t>
  </si>
  <si>
    <t>EFMIC</t>
  </si>
  <si>
    <t>NAURU</t>
  </si>
  <si>
    <t>NIUE</t>
  </si>
  <si>
    <t>NVAZE</t>
  </si>
  <si>
    <t>IWAKE</t>
  </si>
  <si>
    <t>NVAGU</t>
  </si>
  <si>
    <t>IPITC</t>
  </si>
  <si>
    <t>ISALO</t>
  </si>
  <si>
    <t>SAMOA</t>
  </si>
  <si>
    <t>SAMAM</t>
  </si>
  <si>
    <t>TOKEL</t>
  </si>
  <si>
    <t>TONGA</t>
  </si>
  <si>
    <t>TUVAL</t>
  </si>
  <si>
    <t>VANUA</t>
  </si>
  <si>
    <t>IWALL</t>
  </si>
  <si>
    <t>IFIJI</t>
  </si>
  <si>
    <t>EGYP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</si>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</sst>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00"/>
  </numFmts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left" vertical="center"/>
    </xf>
    <xf numFmtId="0" fontId="4" fillId="0" borderId="0" xfId="0" quotePrefix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center" vertical="center"/>
    </xf>
    <xf numFmtId="0" fontId="0" fillId="0" borderId="0" xfId="0" applyFont="1" applyAlignment="1">
      <alignment horizontal="left"/>
    </xf>
    <xf numFmtId="164" fontId="2" fillId="0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8">
    <cellStyle name="Comma 2" xfId="2"/>
    <cellStyle name="Millares 2" xfId="3"/>
    <cellStyle name="Millares 3" xfId="4"/>
    <cellStyle name="Millares 4" xfId="5"/>
    <cellStyle name="Moneda 2" xfId="6"/>
    <cellStyle name="Normal" xfId="0" builtinId="0"/>
    <cellStyle name="Normal 2" xfId="7"/>
    <cellStyle name="Normal 3" xfId="1"/>
  </cellStyles>
  <dxfs count="27"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27"/>
  <sheetViews>
    <sheetView workbookViewId="0">
      <selection activeCell="B17" sqref="B17:H17"/>
    </sheetView>
  </sheetViews>
  <sheetFormatPr defaultColWidth="11.42578125" defaultRowHeight="15" x14ac:dyDescent="0.25"/>
  <cols>
    <col min="1" max="1" width="20.85546875" style="3" customWidth="1"/>
    <col min="2" max="2" width="37.5703125" bestFit="1" customWidth="1"/>
    <col min="3" max="3" width="25.85546875" style="29" bestFit="1" customWidth="1"/>
  </cols>
  <sheetData>
    <row r="1" spans="1:4" x14ac:dyDescent="0.25">
      <c r="A1" s="16" t="str">
        <f>(CONCATENATE("SUB_CI_",(MID(B4,4,LEN(B4)-4))))</f>
        <v>SUB_CI_COUNTRY</v>
      </c>
      <c r="B1" s="5"/>
      <c r="C1" s="28"/>
      <c r="D1" s="5"/>
    </row>
    <row r="3" spans="1:4" x14ac:dyDescent="0.25">
      <c r="A3" s="4" t="s">
        <v>5</v>
      </c>
      <c r="B3" t="s">
        <v>11</v>
      </c>
      <c r="C3" s="30" t="s">
        <v>4</v>
      </c>
    </row>
    <row r="4" spans="1:4" x14ac:dyDescent="0.25">
      <c r="A4" s="3" t="s">
        <v>3</v>
      </c>
      <c r="B4" t="s">
        <v>15</v>
      </c>
      <c r="C4" s="29" t="s">
        <v>10</v>
      </c>
    </row>
    <row r="5" spans="1:4" x14ac:dyDescent="0.25">
      <c r="B5" t="s">
        <v>16</v>
      </c>
      <c r="C5" s="29" t="s">
        <v>12</v>
      </c>
    </row>
    <row r="6" spans="1:4" x14ac:dyDescent="0.25">
      <c r="B6" t="s">
        <v>17</v>
      </c>
      <c r="C6" s="29" t="s">
        <v>13</v>
      </c>
    </row>
    <row r="7" spans="1:4" x14ac:dyDescent="0.25">
      <c r="B7" t="s">
        <v>18</v>
      </c>
      <c r="C7" s="29" t="s">
        <v>10</v>
      </c>
    </row>
    <row r="8" spans="1:4" x14ac:dyDescent="0.25">
      <c r="B8" t="s">
        <v>19</v>
      </c>
      <c r="C8" s="29" t="s">
        <v>14</v>
      </c>
    </row>
    <row r="9" spans="1:4" x14ac:dyDescent="0.25">
      <c r="B9" t="s">
        <v>20</v>
      </c>
      <c r="C9" s="29" t="s">
        <v>10</v>
      </c>
    </row>
    <row r="10" spans="1:4" x14ac:dyDescent="0.25">
      <c r="B10" t="s">
        <v>21</v>
      </c>
      <c r="C10" s="29" t="s">
        <v>10</v>
      </c>
    </row>
    <row r="12" spans="1:4" x14ac:dyDescent="0.25">
      <c r="C12"/>
    </row>
    <row r="17" spans="2:8" x14ac:dyDescent="0.25"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</row>
    <row r="27" spans="2:8" x14ac:dyDescent="0.25">
      <c r="C2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P231"/>
  <sheetViews>
    <sheetView tabSelected="1" topLeftCell="I224" zoomScale="130" zoomScaleNormal="130" workbookViewId="0">
      <selection activeCell="J235" sqref="J235"/>
    </sheetView>
  </sheetViews>
  <sheetFormatPr defaultColWidth="11.42578125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6" width="43.28515625" style="9" bestFit="1" customWidth="1"/>
    <col min="7" max="7" width="28.140625" style="9" customWidth="1"/>
    <col min="8" max="8" width="16.28515625" style="26" customWidth="1"/>
    <col min="9" max="9" width="38.42578125" style="34" customWidth="1"/>
    <col min="10" max="10" width="24.42578125" style="15" customWidth="1"/>
    <col min="11" max="11" width="24.42578125" style="31" customWidth="1"/>
    <col min="12" max="12" width="8.42578125" customWidth="1"/>
    <col min="13" max="13" width="25.28515625" customWidth="1"/>
    <col min="14" max="14" width="17.42578125" style="12" customWidth="1"/>
  </cols>
  <sheetData>
    <row r="1" spans="1:16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M1" s="18" t="s">
        <v>9</v>
      </c>
      <c r="N1" s="18" t="str">
        <f>TABLE!A1</f>
        <v>SUB_CI_COUNTRY</v>
      </c>
      <c r="O1" s="18" t="s">
        <v>6</v>
      </c>
      <c r="P1" s="18" t="str">
        <f>CONCATENATE($M$1,$N$1,$O$1,B3, ", ", C3, ", ", D3, ", ", )</f>
        <v xml:space="preserve">EXECUTE [dbo].[SUB_CI_COUNTRY] 0, 0, 0, </v>
      </c>
    </row>
    <row r="2" spans="1:16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32" t="s">
        <v>7</v>
      </c>
      <c r="J2" s="14" t="s">
        <v>7</v>
      </c>
      <c r="K2" s="14" t="s">
        <v>7</v>
      </c>
      <c r="L2" s="1"/>
      <c r="M2" s="2" t="str">
        <f>"-- =========================================================="</f>
        <v>-- ==========================================================</v>
      </c>
      <c r="O2" s="6"/>
      <c r="P2" s="1"/>
    </row>
    <row r="3" spans="1:16" s="10" customFormat="1" x14ac:dyDescent="0.25">
      <c r="A3" s="19"/>
      <c r="B3" s="20">
        <v>0</v>
      </c>
      <c r="C3" s="20">
        <v>0</v>
      </c>
      <c r="D3" s="20">
        <v>0</v>
      </c>
      <c r="E3" s="27">
        <v>0</v>
      </c>
      <c r="F3" s="21" t="s">
        <v>251</v>
      </c>
      <c r="G3" s="22" t="s">
        <v>252</v>
      </c>
      <c r="H3" s="25">
        <v>1</v>
      </c>
      <c r="I3" s="33" t="str">
        <f t="shared" ref="I3:I8" si="0">CONCATENATE("#",E3," // ",F3)</f>
        <v>#0 // (NO-COUNTRY)</v>
      </c>
      <c r="J3" s="25">
        <v>1</v>
      </c>
      <c r="K3" s="31">
        <v>0</v>
      </c>
      <c r="M3" s="23" t="str">
        <f>CONCATENATE(CI_!$P$1,E3,", '",F3,"', '",G3,"' , ",H3," , '",I3,"' , ",J3,",",K3)</f>
        <v>EXECUTE [dbo].[SUB_CI_COUNTRY] 0, 0, 0, 0, '(NO-COUNTRY)', '( N/CT )' , 1 , '#0 // (NO-COUNTRY)' , 1,0</v>
      </c>
      <c r="N3" s="11"/>
    </row>
    <row r="4" spans="1:16" s="10" customFormat="1" x14ac:dyDescent="0.25">
      <c r="A4" s="19"/>
      <c r="B4" s="20">
        <v>0</v>
      </c>
      <c r="C4" s="20">
        <v>0</v>
      </c>
      <c r="D4" s="20">
        <v>0</v>
      </c>
      <c r="E4" s="27">
        <v>101</v>
      </c>
      <c r="F4" s="33" t="s">
        <v>22</v>
      </c>
      <c r="G4" s="22" t="s">
        <v>253</v>
      </c>
      <c r="H4" s="25">
        <v>1</v>
      </c>
      <c r="I4" s="33" t="str">
        <f t="shared" si="0"/>
        <v>#101 // República de Angola</v>
      </c>
      <c r="J4" s="25">
        <v>1</v>
      </c>
      <c r="K4" s="31">
        <v>100</v>
      </c>
      <c r="M4" s="23" t="str">
        <f>CONCATENATE(CI_!$P$1,E4,", '",F4,"', '",G4,"' , ",H4," , '",I4,"' , ",J4,",",K4)</f>
        <v>EXECUTE [dbo].[SUB_CI_COUNTRY] 0, 0, 0, 101, 'República de Angola', 'ANGOL' , 1 , '#101 // República de Angola' , 1,100</v>
      </c>
      <c r="N4" s="11"/>
    </row>
    <row r="5" spans="1:16" s="10" customFormat="1" x14ac:dyDescent="0.25">
      <c r="A5" s="19"/>
      <c r="B5" s="20">
        <v>0</v>
      </c>
      <c r="C5" s="20">
        <v>0</v>
      </c>
      <c r="D5" s="20">
        <v>0</v>
      </c>
      <c r="E5" s="27">
        <v>102</v>
      </c>
      <c r="F5" s="33" t="s">
        <v>23</v>
      </c>
      <c r="G5" s="22" t="s">
        <v>254</v>
      </c>
      <c r="H5" s="25">
        <v>1</v>
      </c>
      <c r="I5" s="33" t="str">
        <f t="shared" si="0"/>
        <v>#102 // República Democrática y Popular de Argelia</v>
      </c>
      <c r="J5" s="25">
        <v>1</v>
      </c>
      <c r="K5" s="31">
        <v>100</v>
      </c>
      <c r="M5" s="23" t="str">
        <f>CONCATENATE(CI_!$P$1,E5,", '",F5,"', '",G5,"' , ",H5," , '",I5,"' , ",J5,",",K5)</f>
        <v>EXECUTE [dbo].[SUB_CI_COUNTRY] 0, 0, 0, 102, 'República Democrática y Popular de Argelia', 'ARGEL' , 1 , '#102 // República Democrática y Popular de Argelia' , 1,100</v>
      </c>
      <c r="N5" s="11"/>
    </row>
    <row r="6" spans="1:16" s="10" customFormat="1" x14ac:dyDescent="0.25">
      <c r="A6" s="19"/>
      <c r="B6" s="20">
        <v>0</v>
      </c>
      <c r="C6" s="20">
        <v>0</v>
      </c>
      <c r="D6" s="20">
        <v>0</v>
      </c>
      <c r="E6" s="27">
        <v>104</v>
      </c>
      <c r="F6" s="33" t="s">
        <v>24</v>
      </c>
      <c r="G6" s="22" t="s">
        <v>255</v>
      </c>
      <c r="H6" s="25">
        <v>1</v>
      </c>
      <c r="I6" s="33" t="str">
        <f t="shared" si="0"/>
        <v>#104 // República de Benín</v>
      </c>
      <c r="J6" s="25">
        <v>1</v>
      </c>
      <c r="K6" s="31">
        <v>100</v>
      </c>
      <c r="M6" s="23" t="str">
        <f>CONCATENATE(CI_!$P$1,E6,", '",F6,"', '",G6,"' , ",H6," , '",I6,"' , ",J6,",",K6)</f>
        <v>EXECUTE [dbo].[SUB_CI_COUNTRY] 0, 0, 0, 104, 'República de Benín', 'BENÍN' , 1 , '#104 // República de Benín' , 1,100</v>
      </c>
      <c r="N6" s="11"/>
    </row>
    <row r="7" spans="1:16" x14ac:dyDescent="0.25">
      <c r="A7" s="19"/>
      <c r="B7" s="20">
        <v>0</v>
      </c>
      <c r="C7" s="20">
        <v>0</v>
      </c>
      <c r="D7" s="20">
        <v>0</v>
      </c>
      <c r="E7" s="27">
        <v>105</v>
      </c>
      <c r="F7" s="33" t="s">
        <v>25</v>
      </c>
      <c r="G7" s="22" t="s">
        <v>256</v>
      </c>
      <c r="H7" s="25">
        <v>1</v>
      </c>
      <c r="I7" s="33" t="str">
        <f t="shared" si="0"/>
        <v>#105 // República de Botswana</v>
      </c>
      <c r="J7" s="25">
        <v>1</v>
      </c>
      <c r="K7" s="31">
        <v>100</v>
      </c>
      <c r="L7" s="10"/>
      <c r="M7" s="23" t="str">
        <f>CONCATENATE(CI_!$P$1,E7,", '",F7,"', '",G7,"' , ",H7," , '",I7,"' , ",J7,",",K7)</f>
        <v>EXECUTE [dbo].[SUB_CI_COUNTRY] 0, 0, 0, 105, 'República de Botswana', 'BOTSW' , 1 , '#105 // República de Botswana' , 1,100</v>
      </c>
      <c r="N7" s="11"/>
      <c r="O7" s="10"/>
      <c r="P7" s="10"/>
    </row>
    <row r="8" spans="1:16" s="10" customFormat="1" x14ac:dyDescent="0.25">
      <c r="A8" s="19"/>
      <c r="B8" s="20">
        <v>0</v>
      </c>
      <c r="C8" s="20">
        <v>0</v>
      </c>
      <c r="D8" s="20">
        <v>0</v>
      </c>
      <c r="E8" s="27">
        <v>106</v>
      </c>
      <c r="F8" s="33" t="s">
        <v>26</v>
      </c>
      <c r="G8" s="22" t="s">
        <v>257</v>
      </c>
      <c r="H8" s="25">
        <v>1</v>
      </c>
      <c r="I8" s="33" t="str">
        <f t="shared" si="0"/>
        <v>#106 // Burkina Faso</v>
      </c>
      <c r="J8" s="25">
        <v>1</v>
      </c>
      <c r="K8" s="31">
        <v>100</v>
      </c>
      <c r="M8" s="23" t="str">
        <f>CONCATENATE(CI_!$P$1,E8,", '",F8,"', '",G8,"' , ",H8," , '",I8,"' , ",J8,",",K8)</f>
        <v>EXECUTE [dbo].[SUB_CI_COUNTRY] 0, 0, 0, 106, 'Burkina Faso', 'BURKI' , 1 , '#106 // Burkina Faso' , 1,100</v>
      </c>
      <c r="N8" s="11"/>
    </row>
    <row r="9" spans="1:16" s="10" customFormat="1" x14ac:dyDescent="0.25">
      <c r="A9" s="19"/>
      <c r="B9" s="20">
        <v>0</v>
      </c>
      <c r="C9" s="20">
        <v>0</v>
      </c>
      <c r="D9" s="20">
        <v>0</v>
      </c>
      <c r="E9" s="27">
        <v>107</v>
      </c>
      <c r="F9" s="33" t="s">
        <v>27</v>
      </c>
      <c r="G9" s="22" t="s">
        <v>258</v>
      </c>
      <c r="H9" s="25">
        <v>1</v>
      </c>
      <c r="I9" s="33" t="str">
        <f t="shared" ref="I9:I72" si="1">CONCATENATE("#",E9," // ",F9)</f>
        <v>#107 // República de Burundi</v>
      </c>
      <c r="J9" s="25">
        <v>1</v>
      </c>
      <c r="K9" s="31">
        <v>100</v>
      </c>
      <c r="M9" s="23" t="str">
        <f>CONCATENATE(CI_!$P$1,E9,", '",F9,"', '",G9,"' , ",H9," , '",I9,"' , ",J9,",",K9)</f>
        <v>EXECUTE [dbo].[SUB_CI_COUNTRY] 0, 0, 0, 107, 'República de Burundi', 'BURUN' , 1 , '#107 // República de Burundi' , 1,100</v>
      </c>
      <c r="N9" s="11"/>
    </row>
    <row r="10" spans="1:16" s="10" customFormat="1" x14ac:dyDescent="0.25">
      <c r="A10" s="19"/>
      <c r="B10" s="20">
        <v>0</v>
      </c>
      <c r="C10" s="20">
        <v>0</v>
      </c>
      <c r="D10" s="20">
        <v>0</v>
      </c>
      <c r="E10" s="27">
        <v>108</v>
      </c>
      <c r="F10" s="33" t="s">
        <v>28</v>
      </c>
      <c r="G10" s="22" t="s">
        <v>259</v>
      </c>
      <c r="H10" s="25">
        <v>1</v>
      </c>
      <c r="I10" s="33" t="str">
        <f t="shared" si="1"/>
        <v>#108 // República de Cabo Verde</v>
      </c>
      <c r="J10" s="25">
        <v>1</v>
      </c>
      <c r="K10" s="31">
        <v>100</v>
      </c>
      <c r="M10" s="23" t="str">
        <f>CONCATENATE(CI_!$P$1,E10,", '",F10,"', '",G10,"' , ",H10," , '",I10,"' , ",J10,",",K10)</f>
        <v>EXECUTE [dbo].[SUB_CI_COUNTRY] 0, 0, 0, 108, 'República de Cabo Verde', 'CABO' , 1 , '#108 // República de Cabo Verde' , 1,100</v>
      </c>
      <c r="N10" s="11"/>
    </row>
    <row r="11" spans="1:16" s="10" customFormat="1" x14ac:dyDescent="0.25">
      <c r="A11" s="19"/>
      <c r="B11" s="20">
        <v>0</v>
      </c>
      <c r="C11" s="20">
        <v>0</v>
      </c>
      <c r="D11" s="20">
        <v>0</v>
      </c>
      <c r="E11" s="27">
        <v>109</v>
      </c>
      <c r="F11" s="33" t="s">
        <v>29</v>
      </c>
      <c r="G11" s="22" t="s">
        <v>260</v>
      </c>
      <c r="H11" s="25">
        <v>1</v>
      </c>
      <c r="I11" s="33" t="str">
        <f t="shared" si="1"/>
        <v>#109 // República de Camerún</v>
      </c>
      <c r="J11" s="25">
        <v>1</v>
      </c>
      <c r="K11" s="31">
        <v>100</v>
      </c>
      <c r="M11" s="23" t="str">
        <f>CONCATENATE(CI_!$P$1,E11,", '",F11,"', '",G11,"' , ",H11," , '",I11,"' , ",J11,",",K11)</f>
        <v>EXECUTE [dbo].[SUB_CI_COUNTRY] 0, 0, 0, 109, 'República de Camerún', 'CAMER' , 1 , '#109 // República de Camerún' , 1,100</v>
      </c>
      <c r="N11" s="11"/>
    </row>
    <row r="12" spans="1:16" s="10" customFormat="1" x14ac:dyDescent="0.25">
      <c r="A12" s="19"/>
      <c r="B12" s="20">
        <v>0</v>
      </c>
      <c r="C12" s="20">
        <v>0</v>
      </c>
      <c r="D12" s="20">
        <v>0</v>
      </c>
      <c r="E12" s="27">
        <v>112</v>
      </c>
      <c r="F12" s="33" t="s">
        <v>30</v>
      </c>
      <c r="G12" s="22" t="s">
        <v>261</v>
      </c>
      <c r="H12" s="25">
        <v>1</v>
      </c>
      <c r="I12" s="33" t="str">
        <f t="shared" si="1"/>
        <v>#112 // República de Ruanda</v>
      </c>
      <c r="J12" s="25">
        <v>1</v>
      </c>
      <c r="K12" s="31">
        <v>100</v>
      </c>
      <c r="M12" s="23" t="str">
        <f>CONCATENATE(CI_!$P$1,E12,", '",F12,"', '",G12,"' , ",H12," , '",I12,"' , ",J12,",",K12)</f>
        <v>EXECUTE [dbo].[SUB_CI_COUNTRY] 0, 0, 0, 112, 'República de Ruanda', 'RUAND' , 1 , '#112 // República de Ruanda' , 1,100</v>
      </c>
      <c r="N12" s="11"/>
    </row>
    <row r="13" spans="1:16" s="10" customFormat="1" x14ac:dyDescent="0.25">
      <c r="A13" s="19"/>
      <c r="B13" s="20">
        <v>0</v>
      </c>
      <c r="C13" s="20">
        <v>0</v>
      </c>
      <c r="D13" s="20">
        <v>0</v>
      </c>
      <c r="E13" s="27">
        <v>113</v>
      </c>
      <c r="F13" s="33" t="s">
        <v>31</v>
      </c>
      <c r="G13" s="22" t="s">
        <v>262</v>
      </c>
      <c r="H13" s="25">
        <v>1</v>
      </c>
      <c r="I13" s="33" t="str">
        <f t="shared" si="1"/>
        <v>#113 // República Popular del Congo</v>
      </c>
      <c r="J13" s="25">
        <v>1</v>
      </c>
      <c r="K13" s="31">
        <v>100</v>
      </c>
      <c r="M13" s="23" t="str">
        <f>CONCATENATE(CI_!$P$1,E13,", '",F13,"', '",G13,"' , ",H13," , '",I13,"' , ",J13,",",K13)</f>
        <v>EXECUTE [dbo].[SUB_CI_COUNTRY] 0, 0, 0, 113, 'República Popular del Congo', 'PCONGO' , 1 , '#113 // República Popular del Congo' , 1,100</v>
      </c>
      <c r="N13" s="11"/>
    </row>
    <row r="14" spans="1:16" s="10" customFormat="1" x14ac:dyDescent="0.25">
      <c r="A14" s="19"/>
      <c r="B14" s="20">
        <v>0</v>
      </c>
      <c r="C14" s="20">
        <v>0</v>
      </c>
      <c r="D14" s="20">
        <v>0</v>
      </c>
      <c r="E14" s="27">
        <v>114</v>
      </c>
      <c r="F14" s="33" t="s">
        <v>32</v>
      </c>
      <c r="G14" s="22" t="s">
        <v>263</v>
      </c>
      <c r="H14" s="25">
        <v>1</v>
      </c>
      <c r="I14" s="33" t="str">
        <f t="shared" si="1"/>
        <v>#114 // República de Costa de Marfi l</v>
      </c>
      <c r="J14" s="25">
        <v>1</v>
      </c>
      <c r="K14" s="31">
        <v>100</v>
      </c>
      <c r="M14" s="23" t="str">
        <f>CONCATENATE(CI_!$P$1,E14,", '",F14,"', '",G14,"' , ",H14," , '",I14,"' , ",J14,",",K14)</f>
        <v>EXECUTE [dbo].[SUB_CI_COUNTRY] 0, 0, 0, 114, 'República de Costa de Marfi l', 'CMARF' , 1 , '#114 // República de Costa de Marfi l' , 1,100</v>
      </c>
      <c r="N14" s="11"/>
    </row>
    <row r="15" spans="1:16" s="10" customFormat="1" x14ac:dyDescent="0.25">
      <c r="A15" s="19"/>
      <c r="B15" s="20">
        <v>0</v>
      </c>
      <c r="C15" s="20">
        <v>0</v>
      </c>
      <c r="D15" s="20">
        <v>0</v>
      </c>
      <c r="E15" s="27">
        <v>115</v>
      </c>
      <c r="F15" s="33" t="s">
        <v>33</v>
      </c>
      <c r="G15" s="22" t="s">
        <v>264</v>
      </c>
      <c r="H15" s="25">
        <v>1</v>
      </c>
      <c r="I15" s="33" t="str">
        <f t="shared" si="1"/>
        <v>#115 // República de Chad</v>
      </c>
      <c r="J15" s="25">
        <v>1</v>
      </c>
      <c r="K15" s="31">
        <v>100</v>
      </c>
      <c r="M15" s="23" t="str">
        <f>CONCATENATE(CI_!$P$1,E15,", '",F15,"', '",G15,"' , ",H15," , '",I15,"' , ",J15,",",K15)</f>
        <v>EXECUTE [dbo].[SUB_CI_COUNTRY] 0, 0, 0, 115, 'República de Chad', 'CHAD' , 1 , '#115 // República de Chad' , 1,100</v>
      </c>
      <c r="N15" s="11"/>
    </row>
    <row r="16" spans="1:16" s="10" customFormat="1" x14ac:dyDescent="0.25">
      <c r="A16" s="19"/>
      <c r="B16" s="20">
        <v>0</v>
      </c>
      <c r="C16" s="20">
        <v>0</v>
      </c>
      <c r="D16" s="20">
        <v>0</v>
      </c>
      <c r="E16" s="27">
        <v>116</v>
      </c>
      <c r="F16" s="33" t="s">
        <v>34</v>
      </c>
      <c r="G16" s="22" t="s">
        <v>265</v>
      </c>
      <c r="H16" s="25">
        <v>1</v>
      </c>
      <c r="I16" s="33" t="str">
        <f t="shared" si="1"/>
        <v>#116 // República de Djibouti</v>
      </c>
      <c r="J16" s="25">
        <v>1</v>
      </c>
      <c r="K16" s="31">
        <v>100</v>
      </c>
      <c r="M16" s="23" t="str">
        <f>CONCATENATE(CI_!$P$1,E16,", '",F16,"', '",G16,"' , ",H16," , '",I16,"' , ",J16,",",K16)</f>
        <v>EXECUTE [dbo].[SUB_CI_COUNTRY] 0, 0, 0, 116, 'República de Djibouti', 'DJIBO' , 1 , '#116 // República de Djibouti' , 1,100</v>
      </c>
      <c r="N16" s="11"/>
    </row>
    <row r="17" spans="1:14" s="10" customFormat="1" x14ac:dyDescent="0.25">
      <c r="A17" s="19"/>
      <c r="B17" s="20">
        <v>0</v>
      </c>
      <c r="C17" s="20">
        <v>0</v>
      </c>
      <c r="D17" s="20">
        <v>0</v>
      </c>
      <c r="E17" s="27">
        <v>117</v>
      </c>
      <c r="F17" s="33" t="s">
        <v>35</v>
      </c>
      <c r="G17" s="22" t="s">
        <v>478</v>
      </c>
      <c r="H17" s="25">
        <v>1</v>
      </c>
      <c r="I17" s="33" t="str">
        <f t="shared" si="1"/>
        <v>#117 // República Árabe deEgipto</v>
      </c>
      <c r="J17" s="25">
        <v>1</v>
      </c>
      <c r="K17" s="31">
        <v>100</v>
      </c>
      <c r="M17" s="23" t="str">
        <f>CONCATENATE(CI_!$P$1,E17,", '",F17,"', '",G17,"' , ",H17," , '",I17,"' , ",J17,",",K17)</f>
        <v>EXECUTE [dbo].[SUB_CI_COUNTRY] 0, 0, 0, 117, 'República Árabe deEgipto', 'EGYP' , 1 , '#117 // República Árabe deEgipto' , 1,100</v>
      </c>
      <c r="N17" s="11"/>
    </row>
    <row r="18" spans="1:14" s="10" customFormat="1" x14ac:dyDescent="0.25">
      <c r="A18" s="19"/>
      <c r="B18" s="20">
        <v>0</v>
      </c>
      <c r="C18" s="20">
        <v>0</v>
      </c>
      <c r="D18" s="20">
        <v>0</v>
      </c>
      <c r="E18" s="27">
        <v>118</v>
      </c>
      <c r="F18" s="33" t="s">
        <v>36</v>
      </c>
      <c r="G18" s="22" t="s">
        <v>266</v>
      </c>
      <c r="H18" s="25">
        <v>1</v>
      </c>
      <c r="I18" s="33" t="str">
        <f t="shared" si="1"/>
        <v>#118 // Estado de Eritrea</v>
      </c>
      <c r="J18" s="25">
        <v>1</v>
      </c>
      <c r="K18" s="31">
        <v>100</v>
      </c>
      <c r="M18" s="23" t="str">
        <f>CONCATENATE(CI_!$P$1,E18,", '",F18,"', '",G18,"' , ",H18," , '",I18,"' , ",J18,",",K18)</f>
        <v>EXECUTE [dbo].[SUB_CI_COUNTRY] 0, 0, 0, 118, 'Estado de Eritrea', 'EERIT' , 1 , '#118 // Estado de Eritrea' , 1,100</v>
      </c>
      <c r="N18" s="11"/>
    </row>
    <row r="19" spans="1:14" s="10" customFormat="1" x14ac:dyDescent="0.25">
      <c r="A19" s="19"/>
      <c r="B19" s="20">
        <v>0</v>
      </c>
      <c r="C19" s="20">
        <v>0</v>
      </c>
      <c r="D19" s="20">
        <v>0</v>
      </c>
      <c r="E19" s="27">
        <v>119</v>
      </c>
      <c r="F19" s="33" t="s">
        <v>37</v>
      </c>
      <c r="G19" s="22" t="s">
        <v>267</v>
      </c>
      <c r="H19" s="25">
        <v>1</v>
      </c>
      <c r="I19" s="33" t="str">
        <f t="shared" si="1"/>
        <v>#119 // República Federal Democrática de Etiopía</v>
      </c>
      <c r="J19" s="25">
        <v>1</v>
      </c>
      <c r="K19" s="31">
        <v>100</v>
      </c>
      <c r="M19" s="23" t="str">
        <f>CONCATENATE(CI_!$P$1,E19,", '",F19,"', '",G19,"' , ",H19," , '",I19,"' , ",J19,",",K19)</f>
        <v>EXECUTE [dbo].[SUB_CI_COUNTRY] 0, 0, 0, 119, 'República Federal Democrática de Etiopía', 'ETIOP' , 1 , '#119 // República Federal Democrática de Etiopía' , 1,100</v>
      </c>
      <c r="N19" s="11"/>
    </row>
    <row r="20" spans="1:14" s="10" customFormat="1" x14ac:dyDescent="0.25">
      <c r="A20" s="19"/>
      <c r="B20" s="20">
        <v>0</v>
      </c>
      <c r="C20" s="20">
        <v>0</v>
      </c>
      <c r="D20" s="20">
        <v>0</v>
      </c>
      <c r="E20" s="27">
        <v>120</v>
      </c>
      <c r="F20" s="33" t="s">
        <v>38</v>
      </c>
      <c r="G20" s="22" t="s">
        <v>268</v>
      </c>
      <c r="H20" s="25">
        <v>1</v>
      </c>
      <c r="I20" s="33" t="str">
        <f t="shared" si="1"/>
        <v>#120 // República Gabonesa</v>
      </c>
      <c r="J20" s="25">
        <v>1</v>
      </c>
      <c r="K20" s="31">
        <v>100</v>
      </c>
      <c r="M20" s="23" t="str">
        <f>CONCATENATE(CI_!$P$1,E20,", '",F20,"', '",G20,"' , ",H20," , '",I20,"' , ",J20,",",K20)</f>
        <v>EXECUTE [dbo].[SUB_CI_COUNTRY] 0, 0, 0, 120, 'República Gabonesa', 'GABON' , 1 , '#120 // República Gabonesa' , 1,100</v>
      </c>
      <c r="N20" s="11"/>
    </row>
    <row r="21" spans="1:14" s="10" customFormat="1" x14ac:dyDescent="0.25">
      <c r="A21" s="19"/>
      <c r="B21" s="20">
        <v>0</v>
      </c>
      <c r="C21" s="20">
        <v>0</v>
      </c>
      <c r="D21" s="20">
        <v>0</v>
      </c>
      <c r="E21" s="27">
        <v>121</v>
      </c>
      <c r="F21" s="33" t="s">
        <v>39</v>
      </c>
      <c r="G21" s="22" t="s">
        <v>269</v>
      </c>
      <c r="H21" s="25">
        <v>1</v>
      </c>
      <c r="I21" s="33" t="str">
        <f t="shared" si="1"/>
        <v>#121 // República de Gambia</v>
      </c>
      <c r="J21" s="25">
        <v>1</v>
      </c>
      <c r="K21" s="31">
        <v>100</v>
      </c>
      <c r="M21" s="23" t="str">
        <f>CONCATENATE(CI_!$P$1,E21,", '",F21,"', '",G21,"' , ",H21," , '",I21,"' , ",J21,",",K21)</f>
        <v>EXECUTE [dbo].[SUB_CI_COUNTRY] 0, 0, 0, 121, 'República de Gambia', 'GAMBI' , 1 , '#121 // República de Gambia' , 1,100</v>
      </c>
      <c r="N21" s="11"/>
    </row>
    <row r="22" spans="1:14" s="10" customFormat="1" x14ac:dyDescent="0.25">
      <c r="A22" s="19"/>
      <c r="B22" s="20">
        <v>0</v>
      </c>
      <c r="C22" s="20">
        <v>0</v>
      </c>
      <c r="D22" s="20">
        <v>0</v>
      </c>
      <c r="E22" s="27">
        <v>122</v>
      </c>
      <c r="F22" s="33" t="s">
        <v>40</v>
      </c>
      <c r="G22" s="22" t="s">
        <v>270</v>
      </c>
      <c r="H22" s="25">
        <v>1</v>
      </c>
      <c r="I22" s="33" t="str">
        <f t="shared" si="1"/>
        <v>#122 // República de Ghana</v>
      </c>
      <c r="J22" s="25">
        <v>1</v>
      </c>
      <c r="K22" s="31">
        <v>100</v>
      </c>
      <c r="M22" s="23" t="str">
        <f>CONCATENATE(CI_!$P$1,E22,", '",F22,"', '",G22,"' , ",H22," , '",I22,"' , ",J22,",",K22)</f>
        <v>EXECUTE [dbo].[SUB_CI_COUNTRY] 0, 0, 0, 122, 'República de Ghana', 'GHANA' , 1 , '#122 // República de Ghana' , 1,100</v>
      </c>
      <c r="N22" s="11"/>
    </row>
    <row r="23" spans="1:14" s="10" customFormat="1" x14ac:dyDescent="0.25">
      <c r="A23" s="19"/>
      <c r="B23" s="20">
        <v>0</v>
      </c>
      <c r="C23" s="20">
        <v>0</v>
      </c>
      <c r="D23" s="20">
        <v>0</v>
      </c>
      <c r="E23" s="27">
        <v>123</v>
      </c>
      <c r="F23" s="33" t="s">
        <v>41</v>
      </c>
      <c r="G23" s="22" t="s">
        <v>271</v>
      </c>
      <c r="H23" s="25">
        <v>1</v>
      </c>
      <c r="I23" s="33" t="str">
        <f t="shared" si="1"/>
        <v>#123 // República de Guinea</v>
      </c>
      <c r="J23" s="25">
        <v>1</v>
      </c>
      <c r="K23" s="31">
        <v>100</v>
      </c>
      <c r="M23" s="23" t="str">
        <f>CONCATENATE(CI_!$P$1,E23,", '",F23,"', '",G23,"' , ",H23," , '",I23,"' , ",J23,",",K23)</f>
        <v>EXECUTE [dbo].[SUB_CI_COUNTRY] 0, 0, 0, 123, 'República de Guinea', 'GUINE' , 1 , '#123 // República de Guinea' , 1,100</v>
      </c>
      <c r="N23" s="11"/>
    </row>
    <row r="24" spans="1:14" s="10" customFormat="1" x14ac:dyDescent="0.25">
      <c r="A24" s="19"/>
      <c r="B24" s="20">
        <v>0</v>
      </c>
      <c r="C24" s="20">
        <v>0</v>
      </c>
      <c r="D24" s="20">
        <v>0</v>
      </c>
      <c r="E24" s="27">
        <v>124</v>
      </c>
      <c r="F24" s="33" t="s">
        <v>42</v>
      </c>
      <c r="G24" s="22" t="s">
        <v>272</v>
      </c>
      <c r="H24" s="25">
        <v>1</v>
      </c>
      <c r="I24" s="33" t="str">
        <f t="shared" si="1"/>
        <v>#124 // República de Guinea Bissau</v>
      </c>
      <c r="J24" s="25">
        <v>1</v>
      </c>
      <c r="K24" s="31">
        <v>100</v>
      </c>
      <c r="M24" s="23" t="str">
        <f>CONCATENATE(CI_!$P$1,E24,", '",F24,"', '",G24,"' , ",H24," , '",I24,"' , ",J24,",",K24)</f>
        <v>EXECUTE [dbo].[SUB_CI_COUNTRY] 0, 0, 0, 124, 'República de Guinea Bissau', 'GBISS' , 1 , '#124 // República de Guinea Bissau' , 1,100</v>
      </c>
      <c r="N24" s="11"/>
    </row>
    <row r="25" spans="1:14" s="10" customFormat="1" x14ac:dyDescent="0.25">
      <c r="A25" s="19"/>
      <c r="B25" s="20">
        <v>0</v>
      </c>
      <c r="C25" s="20">
        <v>0</v>
      </c>
      <c r="D25" s="20">
        <v>0</v>
      </c>
      <c r="E25" s="27">
        <v>125</v>
      </c>
      <c r="F25" s="33" t="s">
        <v>43</v>
      </c>
      <c r="G25" s="22" t="s">
        <v>273</v>
      </c>
      <c r="H25" s="25">
        <v>1</v>
      </c>
      <c r="I25" s="33" t="str">
        <f t="shared" si="1"/>
        <v>#125 // República de Guinea Ecuatoria</v>
      </c>
      <c r="J25" s="25">
        <v>1</v>
      </c>
      <c r="K25" s="31">
        <v>100</v>
      </c>
      <c r="M25" s="23" t="str">
        <f>CONCATENATE(CI_!$P$1,E25,", '",F25,"', '",G25,"' , ",H25," , '",I25,"' , ",J25,",",K25)</f>
        <v>EXECUTE [dbo].[SUB_CI_COUNTRY] 0, 0, 0, 125, 'República de Guinea Ecuatoria', 'GECUA' , 1 , '#125 // República de Guinea Ecuatoria' , 1,100</v>
      </c>
      <c r="N25" s="11"/>
    </row>
    <row r="26" spans="1:14" s="10" customFormat="1" x14ac:dyDescent="0.25">
      <c r="A26" s="19"/>
      <c r="B26" s="20">
        <v>0</v>
      </c>
      <c r="C26" s="20">
        <v>0</v>
      </c>
      <c r="D26" s="20">
        <v>0</v>
      </c>
      <c r="E26" s="27">
        <v>126</v>
      </c>
      <c r="F26" s="33" t="s">
        <v>44</v>
      </c>
      <c r="G26" s="22" t="s">
        <v>274</v>
      </c>
      <c r="H26" s="25">
        <v>1</v>
      </c>
      <c r="I26" s="33" t="str">
        <f t="shared" si="1"/>
        <v>#126 // República de Kenia</v>
      </c>
      <c r="J26" s="25">
        <v>1</v>
      </c>
      <c r="K26" s="31">
        <v>100</v>
      </c>
      <c r="M26" s="23" t="str">
        <f>CONCATENATE(CI_!$P$1,E26,", '",F26,"', '",G26,"' , ",H26," , '",I26,"' , ",J26,",",K26)</f>
        <v>EXECUTE [dbo].[SUB_CI_COUNTRY] 0, 0, 0, 126, 'República de Kenia', 'KENIA' , 1 , '#126 // República de Kenia' , 1,100</v>
      </c>
      <c r="N26" s="11"/>
    </row>
    <row r="27" spans="1:14" s="10" customFormat="1" x14ac:dyDescent="0.25">
      <c r="A27" s="19"/>
      <c r="B27" s="20">
        <v>0</v>
      </c>
      <c r="C27" s="20">
        <v>0</v>
      </c>
      <c r="D27" s="20">
        <v>0</v>
      </c>
      <c r="E27" s="27">
        <v>127</v>
      </c>
      <c r="F27" s="33" t="s">
        <v>45</v>
      </c>
      <c r="G27" s="22" t="s">
        <v>275</v>
      </c>
      <c r="H27" s="25">
        <v>1</v>
      </c>
      <c r="I27" s="33" t="str">
        <f t="shared" si="1"/>
        <v>#127 // Reino de Lesotho</v>
      </c>
      <c r="J27" s="25">
        <v>1</v>
      </c>
      <c r="K27" s="31">
        <v>100</v>
      </c>
      <c r="M27" s="23" t="str">
        <f>CONCATENATE(CI_!$P$1,E27,", '",F27,"', '",G27,"' , ",H27," , '",I27,"' , ",J27,",",K27)</f>
        <v>EXECUTE [dbo].[SUB_CI_COUNTRY] 0, 0, 0, 127, 'Reino de Lesotho', 'LESOT' , 1 , '#127 // Reino de Lesotho' , 1,100</v>
      </c>
      <c r="N27" s="11"/>
    </row>
    <row r="28" spans="1:14" s="10" customFormat="1" x14ac:dyDescent="0.25">
      <c r="A28" s="19"/>
      <c r="B28" s="20">
        <v>0</v>
      </c>
      <c r="C28" s="20">
        <v>0</v>
      </c>
      <c r="D28" s="20">
        <v>0</v>
      </c>
      <c r="E28" s="27">
        <v>128</v>
      </c>
      <c r="F28" s="33" t="s">
        <v>46</v>
      </c>
      <c r="G28" s="22" t="s">
        <v>276</v>
      </c>
      <c r="H28" s="25">
        <v>1</v>
      </c>
      <c r="I28" s="33" t="str">
        <f t="shared" si="1"/>
        <v>#128 // República de Liberia</v>
      </c>
      <c r="J28" s="25">
        <v>1</v>
      </c>
      <c r="K28" s="31">
        <v>100</v>
      </c>
      <c r="M28" s="23" t="str">
        <f>CONCATENATE(CI_!$P$1,E28,", '",F28,"', '",G28,"' , ",H28," , '",I28,"' , ",J28,",",K28)</f>
        <v>EXECUTE [dbo].[SUB_CI_COUNTRY] 0, 0, 0, 128, 'República de Liberia', 'LIBER' , 1 , '#128 // República de Liberia' , 1,100</v>
      </c>
      <c r="N28" s="11"/>
    </row>
    <row r="29" spans="1:14" s="10" customFormat="1" x14ac:dyDescent="0.25">
      <c r="A29" s="19"/>
      <c r="B29" s="20">
        <v>0</v>
      </c>
      <c r="C29" s="20">
        <v>0</v>
      </c>
      <c r="D29" s="20">
        <v>0</v>
      </c>
      <c r="E29" s="27">
        <v>129</v>
      </c>
      <c r="F29" s="33" t="s">
        <v>47</v>
      </c>
      <c r="G29" s="22" t="s">
        <v>277</v>
      </c>
      <c r="H29" s="25">
        <v>1</v>
      </c>
      <c r="I29" s="33" t="str">
        <f t="shared" si="1"/>
        <v>#129 // Libia</v>
      </c>
      <c r="J29" s="25">
        <v>1</v>
      </c>
      <c r="K29" s="31">
        <v>100</v>
      </c>
      <c r="M29" s="23" t="str">
        <f>CONCATENATE(CI_!$P$1,E29,", '",F29,"', '",G29,"' , ",H29," , '",I29,"' , ",J29,",",K29)</f>
        <v>EXECUTE [dbo].[SUB_CI_COUNTRY] 0, 0, 0, 129, 'Libia', 'LIBIA' , 1 , '#129 // Libia' , 1,100</v>
      </c>
      <c r="N29" s="11"/>
    </row>
    <row r="30" spans="1:14" s="10" customFormat="1" x14ac:dyDescent="0.25">
      <c r="A30" s="19"/>
      <c r="B30" s="20">
        <v>0</v>
      </c>
      <c r="C30" s="20">
        <v>0</v>
      </c>
      <c r="D30" s="20">
        <v>0</v>
      </c>
      <c r="E30" s="27">
        <v>130</v>
      </c>
      <c r="F30" s="33" t="s">
        <v>48</v>
      </c>
      <c r="G30" s="22" t="s">
        <v>278</v>
      </c>
      <c r="H30" s="25">
        <v>1</v>
      </c>
      <c r="I30" s="33" t="str">
        <f t="shared" si="1"/>
        <v>#130 // República de Madagascar</v>
      </c>
      <c r="J30" s="25">
        <v>1</v>
      </c>
      <c r="K30" s="31">
        <v>100</v>
      </c>
      <c r="M30" s="23" t="str">
        <f>CONCATENATE(CI_!$P$1,E30,", '",F30,"', '",G30,"' , ",H30," , '",I30,"' , ",J30,",",K30)</f>
        <v>EXECUTE [dbo].[SUB_CI_COUNTRY] 0, 0, 0, 130, 'República de Madagascar', 'MADAG' , 1 , '#130 // República de Madagascar' , 1,100</v>
      </c>
      <c r="N30" s="11"/>
    </row>
    <row r="31" spans="1:14" s="10" customFormat="1" x14ac:dyDescent="0.25">
      <c r="A31" s="19"/>
      <c r="B31" s="20">
        <v>0</v>
      </c>
      <c r="C31" s="20">
        <v>0</v>
      </c>
      <c r="D31" s="20">
        <v>0</v>
      </c>
      <c r="E31" s="27">
        <v>133</v>
      </c>
      <c r="F31" s="33" t="s">
        <v>49</v>
      </c>
      <c r="G31" s="22" t="s">
        <v>279</v>
      </c>
      <c r="H31" s="25">
        <v>1</v>
      </c>
      <c r="I31" s="33" t="str">
        <f t="shared" si="1"/>
        <v>#133 // República de Malawi</v>
      </c>
      <c r="J31" s="25">
        <v>1</v>
      </c>
      <c r="K31" s="31">
        <v>100</v>
      </c>
      <c r="M31" s="23" t="str">
        <f>CONCATENATE(CI_!$P$1,E31,", '",F31,"', '",G31,"' , ",H31," , '",I31,"' , ",J31,",",K31)</f>
        <v>EXECUTE [dbo].[SUB_CI_COUNTRY] 0, 0, 0, 133, 'República de Malawi', 'MALAW' , 1 , '#133 // República de Malawi' , 1,100</v>
      </c>
      <c r="N31" s="11"/>
    </row>
    <row r="32" spans="1:14" s="10" customFormat="1" x14ac:dyDescent="0.25">
      <c r="A32" s="19"/>
      <c r="B32" s="20">
        <v>0</v>
      </c>
      <c r="C32" s="20">
        <v>0</v>
      </c>
      <c r="D32" s="20">
        <v>0</v>
      </c>
      <c r="E32" s="27">
        <v>134</v>
      </c>
      <c r="F32" s="33" t="s">
        <v>50</v>
      </c>
      <c r="G32" s="22" t="s">
        <v>280</v>
      </c>
      <c r="H32" s="25">
        <v>1</v>
      </c>
      <c r="I32" s="33" t="str">
        <f t="shared" si="1"/>
        <v>#134 // República de Malí</v>
      </c>
      <c r="J32" s="25">
        <v>1</v>
      </c>
      <c r="K32" s="31">
        <v>100</v>
      </c>
      <c r="M32" s="23" t="str">
        <f>CONCATENATE(CI_!$P$1,E32,", '",F32,"', '",G32,"' , ",H32," , '",I32,"' , ",J32,",",K32)</f>
        <v>EXECUTE [dbo].[SUB_CI_COUNTRY] 0, 0, 0, 134, 'República de Malí', 'MALÍ' , 1 , '#134 // República de Malí' , 1,100</v>
      </c>
      <c r="N32" s="11"/>
    </row>
    <row r="33" spans="1:14" s="10" customFormat="1" x14ac:dyDescent="0.25">
      <c r="A33" s="19"/>
      <c r="B33" s="20">
        <v>0</v>
      </c>
      <c r="C33" s="20">
        <v>0</v>
      </c>
      <c r="D33" s="20">
        <v>0</v>
      </c>
      <c r="E33" s="27">
        <v>135</v>
      </c>
      <c r="F33" s="33" t="s">
        <v>51</v>
      </c>
      <c r="G33" s="22" t="s">
        <v>281</v>
      </c>
      <c r="H33" s="25">
        <v>1</v>
      </c>
      <c r="I33" s="33" t="str">
        <f t="shared" si="1"/>
        <v>#135 // Reino de Marruecos</v>
      </c>
      <c r="J33" s="25">
        <v>1</v>
      </c>
      <c r="K33" s="31">
        <v>100</v>
      </c>
      <c r="M33" s="23" t="str">
        <f>CONCATENATE(CI_!$P$1,E33,", '",F33,"', '",G33,"' , ",H33," , '",I33,"' , ",J33,",",K33)</f>
        <v>EXECUTE [dbo].[SUB_CI_COUNTRY] 0, 0, 0, 135, 'Reino de Marruecos', 'MARRU' , 1 , '#135 // Reino de Marruecos' , 1,100</v>
      </c>
      <c r="N33" s="11"/>
    </row>
    <row r="34" spans="1:14" s="10" customFormat="1" x14ac:dyDescent="0.25">
      <c r="A34" s="19"/>
      <c r="B34" s="20">
        <v>0</v>
      </c>
      <c r="C34" s="20">
        <v>0</v>
      </c>
      <c r="D34" s="20">
        <v>0</v>
      </c>
      <c r="E34" s="27">
        <v>136</v>
      </c>
      <c r="F34" s="33" t="s">
        <v>52</v>
      </c>
      <c r="G34" s="22" t="s">
        <v>282</v>
      </c>
      <c r="H34" s="25">
        <v>1</v>
      </c>
      <c r="I34" s="33" t="str">
        <f t="shared" si="1"/>
        <v>#136 // República de Mauricio</v>
      </c>
      <c r="J34" s="25">
        <v>1</v>
      </c>
      <c r="K34" s="31">
        <v>100</v>
      </c>
      <c r="M34" s="23" t="str">
        <f>CONCATENATE(CI_!$P$1,E34,", '",F34,"', '",G34,"' , ",H34," , '",I34,"' , ",J34,",",K34)</f>
        <v>EXECUTE [dbo].[SUB_CI_COUNTRY] 0, 0, 0, 136, 'República de Mauricio', 'MAURI' , 1 , '#136 // República de Mauricio' , 1,100</v>
      </c>
      <c r="N34" s="11"/>
    </row>
    <row r="35" spans="1:14" s="10" customFormat="1" x14ac:dyDescent="0.25">
      <c r="A35" s="19"/>
      <c r="B35" s="20">
        <v>0</v>
      </c>
      <c r="C35" s="20">
        <v>0</v>
      </c>
      <c r="D35" s="20">
        <v>0</v>
      </c>
      <c r="E35" s="27">
        <v>137</v>
      </c>
      <c r="F35" s="33" t="s">
        <v>53</v>
      </c>
      <c r="G35" s="22" t="s">
        <v>283</v>
      </c>
      <c r="H35" s="25">
        <v>1</v>
      </c>
      <c r="I35" s="33" t="str">
        <f t="shared" si="1"/>
        <v>#137 // República Islámica de Maurita</v>
      </c>
      <c r="J35" s="25">
        <v>1</v>
      </c>
      <c r="K35" s="31">
        <v>100</v>
      </c>
      <c r="M35" s="23" t="str">
        <f>CONCATENATE(CI_!$P$1,E35,", '",F35,"', '",G35,"' , ",H35," , '",I35,"' , ",J35,",",K35)</f>
        <v>EXECUTE [dbo].[SUB_CI_COUNTRY] 0, 0, 0, 137, 'República Islámica de Maurita', 'MAURC' , 1 , '#137 // República Islámica de Maurita' , 1,100</v>
      </c>
      <c r="N35" s="11"/>
    </row>
    <row r="36" spans="1:14" s="10" customFormat="1" x14ac:dyDescent="0.25">
      <c r="A36" s="19"/>
      <c r="B36" s="20">
        <v>0</v>
      </c>
      <c r="C36" s="20">
        <v>0</v>
      </c>
      <c r="D36" s="20">
        <v>0</v>
      </c>
      <c r="E36" s="27">
        <v>138</v>
      </c>
      <c r="F36" s="33" t="s">
        <v>54</v>
      </c>
      <c r="G36" s="22" t="s">
        <v>284</v>
      </c>
      <c r="H36" s="25">
        <v>1</v>
      </c>
      <c r="I36" s="33" t="str">
        <f t="shared" si="1"/>
        <v>#138 // Islas Anglonormandas</v>
      </c>
      <c r="J36" s="25">
        <v>1</v>
      </c>
      <c r="K36" s="31">
        <v>100</v>
      </c>
      <c r="M36" s="23" t="str">
        <f>CONCATENATE(CI_!$P$1,E36,", '",F36,"', '",G36,"' , ",H36," , '",I36,"' , ",J36,",",K36)</f>
        <v>EXECUTE [dbo].[SUB_CI_COUNTRY] 0, 0, 0, 138, 'Islas Anglonormandas', 'ANGLO' , 1 , '#138 // Islas Anglonormandas' , 1,100</v>
      </c>
      <c r="N36" s="11"/>
    </row>
    <row r="37" spans="1:14" s="10" customFormat="1" x14ac:dyDescent="0.25">
      <c r="A37" s="19"/>
      <c r="B37" s="20">
        <v>0</v>
      </c>
      <c r="C37" s="20">
        <v>0</v>
      </c>
      <c r="D37" s="20">
        <v>0</v>
      </c>
      <c r="E37" s="27">
        <v>139</v>
      </c>
      <c r="F37" s="33" t="s">
        <v>55</v>
      </c>
      <c r="G37" s="22" t="s">
        <v>285</v>
      </c>
      <c r="H37" s="25">
        <v>1</v>
      </c>
      <c r="I37" s="33" t="str">
        <f t="shared" si="1"/>
        <v>#139 // República de Mozambique</v>
      </c>
      <c r="J37" s="25">
        <v>1</v>
      </c>
      <c r="K37" s="31">
        <v>100</v>
      </c>
      <c r="M37" s="23" t="str">
        <f>CONCATENATE(CI_!$P$1,E37,", '",F37,"', '",G37,"' , ",H37," , '",I37,"' , ",J37,",",K37)</f>
        <v>EXECUTE [dbo].[SUB_CI_COUNTRY] 0, 0, 0, 139, 'República de Mozambique', 'MOZAM' , 1 , '#139 // República de Mozambique' , 1,100</v>
      </c>
      <c r="N37" s="11"/>
    </row>
    <row r="38" spans="1:14" s="10" customFormat="1" x14ac:dyDescent="0.25">
      <c r="A38" s="19"/>
      <c r="B38" s="20">
        <v>0</v>
      </c>
      <c r="C38" s="20">
        <v>0</v>
      </c>
      <c r="D38" s="20">
        <v>0</v>
      </c>
      <c r="E38" s="27">
        <v>140</v>
      </c>
      <c r="F38" s="33" t="s">
        <v>56</v>
      </c>
      <c r="G38" s="22" t="s">
        <v>286</v>
      </c>
      <c r="H38" s="25">
        <v>1</v>
      </c>
      <c r="I38" s="33" t="str">
        <f t="shared" si="1"/>
        <v>#140 // República de Namibia</v>
      </c>
      <c r="J38" s="25">
        <v>1</v>
      </c>
      <c r="K38" s="31">
        <v>100</v>
      </c>
      <c r="M38" s="23" t="str">
        <f>CONCATENATE(CI_!$P$1,E38,", '",F38,"', '",G38,"' , ",H38," , '",I38,"' , ",J38,",",K38)</f>
        <v>EXECUTE [dbo].[SUB_CI_COUNTRY] 0, 0, 0, 140, 'República de Namibia', 'NAMIB' , 1 , '#140 // República de Namibia' , 1,100</v>
      </c>
      <c r="N38" s="11"/>
    </row>
    <row r="39" spans="1:14" s="10" customFormat="1" x14ac:dyDescent="0.25">
      <c r="A39" s="19"/>
      <c r="B39" s="20">
        <v>0</v>
      </c>
      <c r="C39" s="20">
        <v>0</v>
      </c>
      <c r="D39" s="20">
        <v>0</v>
      </c>
      <c r="E39" s="27">
        <v>141</v>
      </c>
      <c r="F39" s="33" t="s">
        <v>57</v>
      </c>
      <c r="G39" s="22" t="s">
        <v>287</v>
      </c>
      <c r="H39" s="25">
        <v>1</v>
      </c>
      <c r="I39" s="33" t="str">
        <f t="shared" si="1"/>
        <v>#141 // República de Níger</v>
      </c>
      <c r="J39" s="25">
        <v>1</v>
      </c>
      <c r="K39" s="31">
        <v>100</v>
      </c>
      <c r="M39" s="23" t="str">
        <f>CONCATENATE(CI_!$P$1,E39,", '",F39,"', '",G39,"' , ",H39," , '",I39,"' , ",J39,",",K39)</f>
        <v>EXECUTE [dbo].[SUB_CI_COUNTRY] 0, 0, 0, 141, 'República de Níger', 'NÍGER' , 1 , '#141 // República de Níger' , 1,100</v>
      </c>
      <c r="N39" s="11"/>
    </row>
    <row r="40" spans="1:14" s="10" customFormat="1" x14ac:dyDescent="0.25">
      <c r="A40" s="19"/>
      <c r="B40" s="20">
        <v>0</v>
      </c>
      <c r="C40" s="20">
        <v>0</v>
      </c>
      <c r="D40" s="20">
        <v>0</v>
      </c>
      <c r="E40" s="27">
        <v>142</v>
      </c>
      <c r="F40" s="33" t="s">
        <v>58</v>
      </c>
      <c r="G40" s="22" t="s">
        <v>288</v>
      </c>
      <c r="H40" s="25">
        <v>1</v>
      </c>
      <c r="I40" s="33" t="str">
        <f t="shared" si="1"/>
        <v>#142 // República Federal de Nigeria</v>
      </c>
      <c r="J40" s="25">
        <v>1</v>
      </c>
      <c r="K40" s="31">
        <v>100</v>
      </c>
      <c r="M40" s="23" t="str">
        <f>CONCATENATE(CI_!$P$1,E40,", '",F40,"', '",G40,"' , ",H40," , '",I40,"' , ",J40,",",K40)</f>
        <v>EXECUTE [dbo].[SUB_CI_COUNTRY] 0, 0, 0, 142, 'República Federal de Nigeria', 'NIGRIA' , 1 , '#142 // República Federal de Nigeria' , 1,100</v>
      </c>
      <c r="N40" s="11"/>
    </row>
    <row r="41" spans="1:14" s="10" customFormat="1" x14ac:dyDescent="0.25">
      <c r="A41" s="19"/>
      <c r="B41" s="20">
        <v>0</v>
      </c>
      <c r="C41" s="20">
        <v>0</v>
      </c>
      <c r="D41" s="20">
        <v>0</v>
      </c>
      <c r="E41" s="27">
        <v>143</v>
      </c>
      <c r="F41" s="33" t="s">
        <v>59</v>
      </c>
      <c r="G41" s="22" t="s">
        <v>289</v>
      </c>
      <c r="H41" s="25">
        <v>1</v>
      </c>
      <c r="I41" s="33" t="str">
        <f t="shared" si="1"/>
        <v>#143 // República Centroafricana</v>
      </c>
      <c r="J41" s="25">
        <v>1</v>
      </c>
      <c r="K41" s="31">
        <v>100</v>
      </c>
      <c r="M41" s="23" t="str">
        <f>CONCATENATE(CI_!$P$1,E41,", '",F41,"', '",G41,"' , ",H41," , '",I41,"' , ",J41,",",K41)</f>
        <v>EXECUTE [dbo].[SUB_CI_COUNTRY] 0, 0, 0, 143, 'República Centroafricana', 'CAFRI' , 1 , '#143 // República Centroafricana' , 1,100</v>
      </c>
      <c r="N41" s="11"/>
    </row>
    <row r="42" spans="1:14" s="10" customFormat="1" x14ac:dyDescent="0.25">
      <c r="A42" s="19"/>
      <c r="B42" s="20">
        <v>0</v>
      </c>
      <c r="C42" s="20">
        <v>0</v>
      </c>
      <c r="D42" s="20">
        <v>0</v>
      </c>
      <c r="E42" s="27">
        <v>145</v>
      </c>
      <c r="F42" s="33" t="s">
        <v>60</v>
      </c>
      <c r="G42" s="22" t="s">
        <v>290</v>
      </c>
      <c r="H42" s="25">
        <v>1</v>
      </c>
      <c r="I42" s="33" t="str">
        <f t="shared" si="1"/>
        <v>#145 // Colectividad territorial de San Pedro y Miquelón</v>
      </c>
      <c r="J42" s="25">
        <v>1</v>
      </c>
      <c r="K42" s="31">
        <v>100</v>
      </c>
      <c r="M42" s="23" t="str">
        <f>CONCATENATE(CI_!$P$1,E42,", '",F42,"', '",G42,"' , ",H42," , '",I42,"' , ",J42,",",K42)</f>
        <v>EXECUTE [dbo].[SUB_CI_COUNTRY] 0, 0, 0, 145, 'Colectividad territorial de San Pedro y Miquelón', 'SPEDR' , 1 , '#145 // Colectividad territorial de San Pedro y Miquelón' , 1,100</v>
      </c>
      <c r="N42" s="11"/>
    </row>
    <row r="43" spans="1:14" s="10" customFormat="1" x14ac:dyDescent="0.25">
      <c r="A43" s="19"/>
      <c r="B43" s="20">
        <v>0</v>
      </c>
      <c r="C43" s="20">
        <v>0</v>
      </c>
      <c r="D43" s="20">
        <v>0</v>
      </c>
      <c r="E43" s="27">
        <v>147</v>
      </c>
      <c r="F43" s="33" t="s">
        <v>61</v>
      </c>
      <c r="G43" s="22" t="s">
        <v>291</v>
      </c>
      <c r="H43" s="25">
        <v>1</v>
      </c>
      <c r="I43" s="33" t="str">
        <f t="shared" si="1"/>
        <v>#147 // Isla Santa Helena</v>
      </c>
      <c r="J43" s="25">
        <v>1</v>
      </c>
      <c r="K43" s="31">
        <v>100</v>
      </c>
      <c r="M43" s="23" t="str">
        <f>CONCATENATE(CI_!$P$1,E43,", '",F43,"', '",G43,"' , ",H43," , '",I43,"' , ",J43,",",K43)</f>
        <v>EXECUTE [dbo].[SUB_CI_COUNTRY] 0, 0, 0, 147, 'Isla Santa Helena', 'ISELE' , 1 , '#147 // Isla Santa Helena' , 1,100</v>
      </c>
      <c r="N43" s="11"/>
    </row>
    <row r="44" spans="1:14" s="10" customFormat="1" x14ac:dyDescent="0.25">
      <c r="A44" s="19"/>
      <c r="B44" s="20">
        <v>0</v>
      </c>
      <c r="C44" s="20">
        <v>0</v>
      </c>
      <c r="D44" s="20">
        <v>0</v>
      </c>
      <c r="E44" s="27">
        <v>148</v>
      </c>
      <c r="F44" s="33" t="s">
        <v>62</v>
      </c>
      <c r="G44" s="22" t="s">
        <v>292</v>
      </c>
      <c r="H44" s="25">
        <v>1</v>
      </c>
      <c r="I44" s="33" t="str">
        <f t="shared" si="1"/>
        <v>#148 // República Democrática de Santo Tome y Príncipe</v>
      </c>
      <c r="J44" s="25">
        <v>1</v>
      </c>
      <c r="K44" s="31">
        <v>100</v>
      </c>
      <c r="M44" s="23" t="str">
        <f>CONCATENATE(CI_!$P$1,E44,", '",F44,"', '",G44,"' , ",H44," , '",I44,"' , ",J44,",",K44)</f>
        <v>EXECUTE [dbo].[SUB_CI_COUNTRY] 0, 0, 0, 148, 'República Democrática de Santo Tome y Príncipe', 'STYPR' , 1 , '#148 // República Democrática de Santo Tome y Príncipe' , 1,100</v>
      </c>
      <c r="N44" s="11"/>
    </row>
    <row r="45" spans="1:14" s="10" customFormat="1" x14ac:dyDescent="0.25">
      <c r="A45" s="19"/>
      <c r="B45" s="20">
        <v>0</v>
      </c>
      <c r="C45" s="20">
        <v>0</v>
      </c>
      <c r="D45" s="20">
        <v>0</v>
      </c>
      <c r="E45" s="27">
        <v>149</v>
      </c>
      <c r="F45" s="33" t="s">
        <v>63</v>
      </c>
      <c r="G45" s="22" t="s">
        <v>293</v>
      </c>
      <c r="H45" s="25">
        <v>1</v>
      </c>
      <c r="I45" s="33" t="str">
        <f t="shared" si="1"/>
        <v>#149 // República de Senegal</v>
      </c>
      <c r="J45" s="25">
        <v>1</v>
      </c>
      <c r="K45" s="31">
        <v>100</v>
      </c>
      <c r="M45" s="23" t="str">
        <f>CONCATENATE(CI_!$P$1,E45,", '",F45,"', '",G45,"' , ",H45," , '",I45,"' , ",J45,",",K45)</f>
        <v>EXECUTE [dbo].[SUB_CI_COUNTRY] 0, 0, 0, 149, 'República de Senegal', 'SENEG' , 1 , '#149 // República de Senegal' , 1,100</v>
      </c>
      <c r="N45" s="11"/>
    </row>
    <row r="46" spans="1:14" s="10" customFormat="1" x14ac:dyDescent="0.25">
      <c r="A46" s="19"/>
      <c r="B46" s="20">
        <v>0</v>
      </c>
      <c r="C46" s="20">
        <v>0</v>
      </c>
      <c r="D46" s="20">
        <v>0</v>
      </c>
      <c r="E46" s="27">
        <v>150</v>
      </c>
      <c r="F46" s="33" t="s">
        <v>64</v>
      </c>
      <c r="G46" s="22" t="s">
        <v>294</v>
      </c>
      <c r="H46" s="25">
        <v>1</v>
      </c>
      <c r="I46" s="33" t="str">
        <f t="shared" si="1"/>
        <v>#150 // República de Isla Seychelles</v>
      </c>
      <c r="J46" s="25">
        <v>1</v>
      </c>
      <c r="K46" s="31">
        <v>100</v>
      </c>
      <c r="M46" s="23" t="str">
        <f>CONCATENATE(CI_!$P$1,E46,", '",F46,"', '",G46,"' , ",H46," , '",I46,"' , ",J46,",",K46)</f>
        <v>EXECUTE [dbo].[SUB_CI_COUNTRY] 0, 0, 0, 150, 'República de Isla Seychelles', 'SEYCH' , 1 , '#150 // República de Isla Seychelles' , 1,100</v>
      </c>
      <c r="N46" s="11"/>
    </row>
    <row r="47" spans="1:14" s="10" customFormat="1" x14ac:dyDescent="0.25">
      <c r="A47" s="19"/>
      <c r="B47" s="20">
        <v>0</v>
      </c>
      <c r="C47" s="20">
        <v>0</v>
      </c>
      <c r="D47" s="20">
        <v>0</v>
      </c>
      <c r="E47" s="27">
        <v>151</v>
      </c>
      <c r="F47" s="33" t="s">
        <v>65</v>
      </c>
      <c r="G47" s="22" t="s">
        <v>295</v>
      </c>
      <c r="H47" s="25">
        <v>1</v>
      </c>
      <c r="I47" s="33" t="str">
        <f t="shared" si="1"/>
        <v>#151 // República de Sierra Leona</v>
      </c>
      <c r="J47" s="25">
        <v>1</v>
      </c>
      <c r="K47" s="31">
        <v>100</v>
      </c>
      <c r="M47" s="23" t="str">
        <f>CONCATENATE(CI_!$P$1,E47,", '",F47,"', '",G47,"' , ",H47," , '",I47,"' , ",J47,",",K47)</f>
        <v>EXECUTE [dbo].[SUB_CI_COUNTRY] 0, 0, 0, 151, 'República de Sierra Leona', 'SLEON' , 1 , '#151 // República de Sierra Leona' , 1,100</v>
      </c>
      <c r="N47" s="11"/>
    </row>
    <row r="48" spans="1:14" s="10" customFormat="1" x14ac:dyDescent="0.25">
      <c r="A48" s="19"/>
      <c r="B48" s="20">
        <v>0</v>
      </c>
      <c r="C48" s="20">
        <v>0</v>
      </c>
      <c r="D48" s="20">
        <v>0</v>
      </c>
      <c r="E48" s="27">
        <v>152</v>
      </c>
      <c r="F48" s="33" t="s">
        <v>66</v>
      </c>
      <c r="G48" s="22" t="s">
        <v>296</v>
      </c>
      <c r="H48" s="25">
        <v>1</v>
      </c>
      <c r="I48" s="33" t="str">
        <f t="shared" si="1"/>
        <v>#152 // Unión de las Comoras</v>
      </c>
      <c r="J48" s="25">
        <v>1</v>
      </c>
      <c r="K48" s="31">
        <v>100</v>
      </c>
      <c r="M48" s="23" t="str">
        <f>CONCATENATE(CI_!$P$1,E48,", '",F48,"', '",G48,"' , ",H48," , '",I48,"' , ",J48,",",K48)</f>
        <v>EXECUTE [dbo].[SUB_CI_COUNTRY] 0, 0, 0, 152, 'Unión de las Comoras', 'UCOMO' , 1 , '#152 // Unión de las Comoras' , 1,100</v>
      </c>
      <c r="N48" s="11"/>
    </row>
    <row r="49" spans="1:14" s="10" customFormat="1" x14ac:dyDescent="0.25">
      <c r="A49" s="19"/>
      <c r="B49" s="20">
        <v>0</v>
      </c>
      <c r="C49" s="20">
        <v>0</v>
      </c>
      <c r="D49" s="20">
        <v>0</v>
      </c>
      <c r="E49" s="27">
        <v>153</v>
      </c>
      <c r="F49" s="33" t="s">
        <v>67</v>
      </c>
      <c r="G49" s="22" t="s">
        <v>297</v>
      </c>
      <c r="H49" s="25">
        <v>1</v>
      </c>
      <c r="I49" s="33" t="str">
        <f t="shared" si="1"/>
        <v>#153 // República de Somalia</v>
      </c>
      <c r="J49" s="25">
        <v>1</v>
      </c>
      <c r="K49" s="31">
        <v>100</v>
      </c>
      <c r="M49" s="23" t="str">
        <f>CONCATENATE(CI_!$P$1,E49,", '",F49,"', '",G49,"' , ",H49," , '",I49,"' , ",J49,",",K49)</f>
        <v>EXECUTE [dbo].[SUB_CI_COUNTRY] 0, 0, 0, 153, 'República de Somalia', 'SOMAL' , 1 , '#153 // República de Somalia' , 1,100</v>
      </c>
      <c r="N49" s="11"/>
    </row>
    <row r="50" spans="1:14" s="10" customFormat="1" x14ac:dyDescent="0.25">
      <c r="A50" s="19"/>
      <c r="B50" s="20">
        <v>0</v>
      </c>
      <c r="C50" s="20">
        <v>0</v>
      </c>
      <c r="D50" s="20">
        <v>0</v>
      </c>
      <c r="E50" s="27">
        <v>154</v>
      </c>
      <c r="F50" s="33" t="s">
        <v>68</v>
      </c>
      <c r="G50" s="22" t="s">
        <v>298</v>
      </c>
      <c r="H50" s="25">
        <v>1</v>
      </c>
      <c r="I50" s="33" t="str">
        <f t="shared" si="1"/>
        <v>#154 // República de Sudáfrica</v>
      </c>
      <c r="J50" s="25">
        <v>1</v>
      </c>
      <c r="K50" s="31">
        <v>100</v>
      </c>
      <c r="M50" s="23" t="str">
        <f>CONCATENATE(CI_!$P$1,E50,", '",F50,"', '",G50,"' , ",H50," , '",I50,"' , ",J50,",",K50)</f>
        <v>EXECUTE [dbo].[SUB_CI_COUNTRY] 0, 0, 0, 154, 'República de Sudáfrica', 'SUDÁF' , 1 , '#154 // República de Sudáfrica' , 1,100</v>
      </c>
      <c r="N50" s="11"/>
    </row>
    <row r="51" spans="1:14" s="10" customFormat="1" x14ac:dyDescent="0.25">
      <c r="A51" s="19"/>
      <c r="B51" s="20">
        <v>0</v>
      </c>
      <c r="C51" s="20">
        <v>0</v>
      </c>
      <c r="D51" s="20">
        <v>0</v>
      </c>
      <c r="E51" s="27">
        <v>160</v>
      </c>
      <c r="F51" s="33" t="s">
        <v>69</v>
      </c>
      <c r="G51" s="22" t="s">
        <v>299</v>
      </c>
      <c r="H51" s="25">
        <v>1</v>
      </c>
      <c r="I51" s="33" t="str">
        <f t="shared" si="1"/>
        <v>#160 // Reino de Suazilandia</v>
      </c>
      <c r="J51" s="25">
        <v>1</v>
      </c>
      <c r="K51" s="31">
        <v>100</v>
      </c>
      <c r="M51" s="23" t="str">
        <f>CONCATENATE(CI_!$P$1,E51,", '",F51,"', '",G51,"' , ",H51," , '",I51,"' , ",J51,",",K51)</f>
        <v>EXECUTE [dbo].[SUB_CI_COUNTRY] 0, 0, 0, 160, 'Reino de Suazilandia', 'RSUAZ' , 1 , '#160 // Reino de Suazilandia' , 1,100</v>
      </c>
      <c r="N51" s="11"/>
    </row>
    <row r="52" spans="1:14" s="10" customFormat="1" x14ac:dyDescent="0.25">
      <c r="A52" s="19"/>
      <c r="B52" s="20">
        <v>0</v>
      </c>
      <c r="C52" s="20">
        <v>0</v>
      </c>
      <c r="D52" s="20">
        <v>0</v>
      </c>
      <c r="E52" s="27">
        <v>161</v>
      </c>
      <c r="F52" s="33" t="s">
        <v>70</v>
      </c>
      <c r="G52" s="22" t="s">
        <v>300</v>
      </c>
      <c r="H52" s="25">
        <v>1</v>
      </c>
      <c r="I52" s="33" t="str">
        <f t="shared" si="1"/>
        <v>#161 // República Unida de Tanzania</v>
      </c>
      <c r="J52" s="25">
        <v>1</v>
      </c>
      <c r="K52" s="31">
        <v>100</v>
      </c>
      <c r="M52" s="23" t="str">
        <f>CONCATENATE(CI_!$P$1,E52,", '",F52,"', '",G52,"' , ",H52," , '",I52,"' , ",J52,",",K52)</f>
        <v>EXECUTE [dbo].[SUB_CI_COUNTRY] 0, 0, 0, 161, 'República Unida de Tanzania', 'TANZA' , 1 , '#161 // República Unida de Tanzania' , 1,100</v>
      </c>
      <c r="N52" s="11"/>
    </row>
    <row r="53" spans="1:14" s="10" customFormat="1" x14ac:dyDescent="0.25">
      <c r="A53" s="19"/>
      <c r="B53" s="20">
        <v>0</v>
      </c>
      <c r="C53" s="20">
        <v>0</v>
      </c>
      <c r="D53" s="20">
        <v>0</v>
      </c>
      <c r="E53" s="27">
        <v>162</v>
      </c>
      <c r="F53" s="33" t="s">
        <v>71</v>
      </c>
      <c r="G53" s="22" t="s">
        <v>301</v>
      </c>
      <c r="H53" s="25">
        <v>1</v>
      </c>
      <c r="I53" s="33" t="str">
        <f t="shared" si="1"/>
        <v>#162 // República Togolesa</v>
      </c>
      <c r="J53" s="25">
        <v>1</v>
      </c>
      <c r="K53" s="31">
        <v>100</v>
      </c>
      <c r="M53" s="23" t="str">
        <f>CONCATENATE(CI_!$P$1,E53,", '",F53,"', '",G53,"' , ",H53," , '",I53,"' , ",J53,",",K53)</f>
        <v>EXECUTE [dbo].[SUB_CI_COUNTRY] 0, 0, 0, 162, 'República Togolesa', 'TOGOL' , 1 , '#162 // República Togolesa' , 1,100</v>
      </c>
      <c r="N53" s="11"/>
    </row>
    <row r="54" spans="1:14" s="10" customFormat="1" x14ac:dyDescent="0.25">
      <c r="A54" s="19"/>
      <c r="B54" s="20">
        <v>0</v>
      </c>
      <c r="C54" s="20">
        <v>0</v>
      </c>
      <c r="D54" s="20">
        <v>0</v>
      </c>
      <c r="E54" s="27">
        <v>164</v>
      </c>
      <c r="F54" s="21" t="s">
        <v>72</v>
      </c>
      <c r="G54" s="22" t="s">
        <v>302</v>
      </c>
      <c r="H54" s="25">
        <v>1</v>
      </c>
      <c r="I54" s="33" t="str">
        <f t="shared" si="1"/>
        <v>#164 // República de Túnez</v>
      </c>
      <c r="J54" s="25">
        <v>1</v>
      </c>
      <c r="K54" s="31">
        <v>100</v>
      </c>
      <c r="M54" s="23" t="str">
        <f>CONCATENATE(CI_!$P$1,E54,", '",F54,"', '",G54,"' , ",H54," , '",I54,"' , ",J54,",",K54)</f>
        <v>EXECUTE [dbo].[SUB_CI_COUNTRY] 0, 0, 0, 164, 'República de Túnez', 'TÚNEZ' , 1 , '#164 // República de Túnez' , 1,100</v>
      </c>
      <c r="N54" s="11"/>
    </row>
    <row r="55" spans="1:14" s="10" customFormat="1" x14ac:dyDescent="0.25">
      <c r="A55" s="19"/>
      <c r="B55" s="20">
        <v>0</v>
      </c>
      <c r="C55" s="20">
        <v>0</v>
      </c>
      <c r="D55" s="20">
        <v>0</v>
      </c>
      <c r="E55" s="27">
        <v>165</v>
      </c>
      <c r="F55" s="21" t="s">
        <v>73</v>
      </c>
      <c r="G55" s="22" t="s">
        <v>303</v>
      </c>
      <c r="H55" s="25">
        <v>1</v>
      </c>
      <c r="I55" s="33" t="str">
        <f t="shared" si="1"/>
        <v>#165 // República de Uganda</v>
      </c>
      <c r="J55" s="25">
        <v>1</v>
      </c>
      <c r="K55" s="31">
        <v>100</v>
      </c>
      <c r="M55" s="23" t="str">
        <f>CONCATENATE(CI_!$P$1,E55,", '",F55,"', '",G55,"' , ",H55," , '",I55,"' , ",J55,",",K55)</f>
        <v>EXECUTE [dbo].[SUB_CI_COUNTRY] 0, 0, 0, 165, 'República de Uganda', 'UGAND' , 1 , '#165 // República de Uganda' , 1,100</v>
      </c>
      <c r="N55" s="11"/>
    </row>
    <row r="56" spans="1:14" s="10" customFormat="1" x14ac:dyDescent="0.25">
      <c r="A56" s="19"/>
      <c r="B56" s="20">
        <v>0</v>
      </c>
      <c r="C56" s="20">
        <v>0</v>
      </c>
      <c r="D56" s="20">
        <v>0</v>
      </c>
      <c r="E56" s="27">
        <v>167</v>
      </c>
      <c r="F56" s="21" t="s">
        <v>74</v>
      </c>
      <c r="G56" s="22" t="s">
        <v>304</v>
      </c>
      <c r="H56" s="25">
        <v>1</v>
      </c>
      <c r="I56" s="33" t="str">
        <f t="shared" si="1"/>
        <v>#167 // República de Zambia</v>
      </c>
      <c r="J56" s="25">
        <v>1</v>
      </c>
      <c r="K56" s="31">
        <v>100</v>
      </c>
      <c r="M56" s="23" t="str">
        <f>CONCATENATE(CI_!$P$1,E56,", '",F56,"', '",G56,"' , ",H56," , '",I56,"' , ",J56,",",K56)</f>
        <v>EXECUTE [dbo].[SUB_CI_COUNTRY] 0, 0, 0, 167, 'República de Zambia', 'ZAMBI' , 1 , '#167 // República de Zambia' , 1,100</v>
      </c>
      <c r="N56" s="11"/>
    </row>
    <row r="57" spans="1:14" s="10" customFormat="1" x14ac:dyDescent="0.25">
      <c r="A57" s="19"/>
      <c r="B57" s="20">
        <v>0</v>
      </c>
      <c r="C57" s="20">
        <v>0</v>
      </c>
      <c r="D57" s="20">
        <v>0</v>
      </c>
      <c r="E57" s="27">
        <v>168</v>
      </c>
      <c r="F57" s="21" t="s">
        <v>75</v>
      </c>
      <c r="G57" s="22" t="s">
        <v>305</v>
      </c>
      <c r="H57" s="25">
        <v>1</v>
      </c>
      <c r="I57" s="33" t="str">
        <f t="shared" si="1"/>
        <v>#168 // República de Zimbabwe</v>
      </c>
      <c r="J57" s="25">
        <v>1</v>
      </c>
      <c r="K57" s="31">
        <v>100</v>
      </c>
      <c r="M57" s="23" t="str">
        <f>CONCATENATE(CI_!$P$1,E57,", '",F57,"', '",G57,"' , ",H57," , '",I57,"' , ",J57,",",K57)</f>
        <v>EXECUTE [dbo].[SUB_CI_COUNTRY] 0, 0, 0, 168, 'República de Zimbabwe', 'ZIMBA' , 1 , '#168 // República de Zimbabwe' , 1,100</v>
      </c>
      <c r="N57" s="11"/>
    </row>
    <row r="58" spans="1:14" s="10" customFormat="1" x14ac:dyDescent="0.25">
      <c r="A58" s="19"/>
      <c r="B58" s="20">
        <v>0</v>
      </c>
      <c r="C58" s="20">
        <v>0</v>
      </c>
      <c r="D58" s="20">
        <v>0</v>
      </c>
      <c r="E58" s="27">
        <v>169</v>
      </c>
      <c r="F58" s="21" t="s">
        <v>76</v>
      </c>
      <c r="G58" s="22" t="s">
        <v>306</v>
      </c>
      <c r="H58" s="25">
        <v>1</v>
      </c>
      <c r="I58" s="33" t="str">
        <f t="shared" si="1"/>
        <v>#169 // República Democrática del Congo</v>
      </c>
      <c r="J58" s="25">
        <v>1</v>
      </c>
      <c r="K58" s="31">
        <v>100</v>
      </c>
      <c r="M58" s="23" t="str">
        <f>CONCATENATE(CI_!$P$1,E58,", '",F58,"', '",G58,"' , ",H58," , '",I58,"' , ",J58,",",K58)</f>
        <v>EXECUTE [dbo].[SUB_CI_COUNTRY] 0, 0, 0, 169, 'República Democrática del Congo', 'DCONGO' , 1 , '#169 // República Democrática del Congo' , 1,100</v>
      </c>
      <c r="N58" s="11"/>
    </row>
    <row r="59" spans="1:14" s="10" customFormat="1" x14ac:dyDescent="0.25">
      <c r="A59" s="19"/>
      <c r="B59" s="20">
        <v>0</v>
      </c>
      <c r="C59" s="20">
        <v>0</v>
      </c>
      <c r="D59" s="20">
        <v>0</v>
      </c>
      <c r="E59" s="27">
        <v>170</v>
      </c>
      <c r="F59" s="21" t="s">
        <v>77</v>
      </c>
      <c r="G59" s="22" t="s">
        <v>307</v>
      </c>
      <c r="H59" s="25">
        <v>1</v>
      </c>
      <c r="I59" s="33" t="str">
        <f t="shared" si="1"/>
        <v>#170 // República Árabe Saharaui Democrática</v>
      </c>
      <c r="J59" s="25">
        <v>1</v>
      </c>
      <c r="K59" s="31">
        <v>100</v>
      </c>
      <c r="M59" s="23" t="str">
        <f>CONCATENATE(CI_!$P$1,E59,", '",F59,"', '",G59,"' , ",H59," , '",I59,"' , ",J59,",",K59)</f>
        <v>EXECUTE [dbo].[SUB_CI_COUNTRY] 0, 0, 0, 170, 'República Árabe Saharaui Democrática', 'ARABE' , 1 , '#170 // República Árabe Saharaui Democrática' , 1,100</v>
      </c>
      <c r="N59" s="11"/>
    </row>
    <row r="60" spans="1:14" s="10" customFormat="1" x14ac:dyDescent="0.25">
      <c r="A60" s="19"/>
      <c r="B60" s="20">
        <v>0</v>
      </c>
      <c r="C60" s="20">
        <v>0</v>
      </c>
      <c r="D60" s="20">
        <v>0</v>
      </c>
      <c r="E60" s="27">
        <v>171</v>
      </c>
      <c r="F60" s="21" t="s">
        <v>78</v>
      </c>
      <c r="G60" s="22" t="s">
        <v>308</v>
      </c>
      <c r="H60" s="25">
        <v>1</v>
      </c>
      <c r="I60" s="33" t="str">
        <f t="shared" si="1"/>
        <v>#171 // República de Sudán</v>
      </c>
      <c r="J60" s="25">
        <v>1</v>
      </c>
      <c r="K60" s="31">
        <v>100</v>
      </c>
      <c r="M60" s="23" t="str">
        <f>CONCATENATE(CI_!$P$1,E60,", '",F60,"', '",G60,"' , ",H60," , '",I60,"' , ",J60,",",K60)</f>
        <v>EXECUTE [dbo].[SUB_CI_COUNTRY] 0, 0, 0, 171, 'República de Sudán', 'SUDÁN' , 1 , '#171 // República de Sudán' , 1,100</v>
      </c>
      <c r="N60" s="11"/>
    </row>
    <row r="61" spans="1:14" s="10" customFormat="1" x14ac:dyDescent="0.25">
      <c r="A61" s="19"/>
      <c r="B61" s="20">
        <v>0</v>
      </c>
      <c r="C61" s="20">
        <v>0</v>
      </c>
      <c r="D61" s="20">
        <v>0</v>
      </c>
      <c r="E61" s="27">
        <v>172</v>
      </c>
      <c r="F61" s="21" t="s">
        <v>79</v>
      </c>
      <c r="G61" s="22" t="s">
        <v>309</v>
      </c>
      <c r="H61" s="25">
        <v>1</v>
      </c>
      <c r="I61" s="33" t="str">
        <f t="shared" si="1"/>
        <v>#172 // República de Sudán del Sur</v>
      </c>
      <c r="J61" s="25">
        <v>1</v>
      </c>
      <c r="K61" s="31">
        <v>100</v>
      </c>
      <c r="M61" s="23" t="str">
        <f>CONCATENATE(CI_!$P$1,E61,", '",F61,"', '",G61,"' , ",H61," , '",I61,"' , ",J61,",",K61)</f>
        <v>EXECUTE [dbo].[SUB_CI_COUNTRY] 0, 0, 0, 172, 'República de Sudán del Sur', 'SUDSU' , 1 , '#172 // República de Sudán del Sur' , 1,100</v>
      </c>
      <c r="N61" s="11"/>
    </row>
    <row r="62" spans="1:14" s="10" customFormat="1" x14ac:dyDescent="0.25">
      <c r="A62" s="19"/>
      <c r="B62" s="20">
        <v>0</v>
      </c>
      <c r="C62" s="20">
        <v>0</v>
      </c>
      <c r="D62" s="20">
        <v>0</v>
      </c>
      <c r="E62" s="27">
        <v>201</v>
      </c>
      <c r="F62" s="21" t="s">
        <v>80</v>
      </c>
      <c r="G62" s="22" t="s">
        <v>310</v>
      </c>
      <c r="H62" s="25">
        <v>1</v>
      </c>
      <c r="I62" s="33" t="str">
        <f t="shared" si="1"/>
        <v>#201 // Anguila</v>
      </c>
      <c r="J62" s="25">
        <v>1</v>
      </c>
      <c r="K62" s="31">
        <v>200</v>
      </c>
      <c r="M62" s="23" t="str">
        <f>CONCATENATE(CI_!$P$1,E62,", '",F62,"', '",G62,"' , ",H62," , '",I62,"' , ",J62,",",K62)</f>
        <v>EXECUTE [dbo].[SUB_CI_COUNTRY] 0, 0, 0, 201, 'Anguila', 'ANGUI' , 1 , '#201 // Anguila' , 1,200</v>
      </c>
      <c r="N62" s="11"/>
    </row>
    <row r="63" spans="1:14" s="10" customFormat="1" x14ac:dyDescent="0.25">
      <c r="A63" s="19"/>
      <c r="B63" s="20">
        <v>0</v>
      </c>
      <c r="C63" s="20">
        <v>0</v>
      </c>
      <c r="D63" s="20">
        <v>0</v>
      </c>
      <c r="E63" s="27">
        <v>202</v>
      </c>
      <c r="F63" s="21" t="s">
        <v>81</v>
      </c>
      <c r="G63" s="22" t="s">
        <v>311</v>
      </c>
      <c r="H63" s="25">
        <v>1</v>
      </c>
      <c r="I63" s="33" t="str">
        <f t="shared" si="1"/>
        <v>#202 // Antigua y Barbuda</v>
      </c>
      <c r="J63" s="25">
        <v>1</v>
      </c>
      <c r="K63" s="31">
        <v>200</v>
      </c>
      <c r="M63" s="23" t="str">
        <f>CONCATENATE(CI_!$P$1,E63,", '",F63,"', '",G63,"' , ",H63," , '",I63,"' , ",J63,",",K63)</f>
        <v>EXECUTE [dbo].[SUB_CI_COUNTRY] 0, 0, 0, 202, 'Antigua y Barbuda', 'AYBAR' , 1 , '#202 // Antigua y Barbuda' , 1,200</v>
      </c>
      <c r="N63" s="11"/>
    </row>
    <row r="64" spans="1:14" s="10" customFormat="1" x14ac:dyDescent="0.25">
      <c r="A64" s="19"/>
      <c r="B64" s="20">
        <v>0</v>
      </c>
      <c r="C64" s="20">
        <v>0</v>
      </c>
      <c r="D64" s="20">
        <v>0</v>
      </c>
      <c r="E64" s="27">
        <v>204</v>
      </c>
      <c r="F64" s="21" t="s">
        <v>82</v>
      </c>
      <c r="G64" s="22" t="s">
        <v>312</v>
      </c>
      <c r="H64" s="25">
        <v>1</v>
      </c>
      <c r="I64" s="33" t="str">
        <f t="shared" si="1"/>
        <v>#204 // República Argentina</v>
      </c>
      <c r="J64" s="25">
        <v>1</v>
      </c>
      <c r="K64" s="31">
        <v>200</v>
      </c>
      <c r="M64" s="23" t="str">
        <f>CONCATENATE(CI_!$P$1,E64,", '",F64,"', '",G64,"' , ",H64," , '",I64,"' , ",J64,",",K64)</f>
        <v>EXECUTE [dbo].[SUB_CI_COUNTRY] 0, 0, 0, 204, 'República Argentina', 'ARGEN' , 1 , '#204 // República Argentina' , 1,200</v>
      </c>
      <c r="N64" s="11"/>
    </row>
    <row r="65" spans="1:14" s="10" customFormat="1" x14ac:dyDescent="0.25">
      <c r="A65" s="19"/>
      <c r="B65" s="20">
        <v>0</v>
      </c>
      <c r="C65" s="20">
        <v>0</v>
      </c>
      <c r="D65" s="20">
        <v>0</v>
      </c>
      <c r="E65" s="27">
        <v>205</v>
      </c>
      <c r="F65" s="21" t="s">
        <v>83</v>
      </c>
      <c r="G65" s="22" t="s">
        <v>313</v>
      </c>
      <c r="H65" s="25">
        <v>1</v>
      </c>
      <c r="I65" s="33" t="str">
        <f t="shared" si="1"/>
        <v>#205 // Aruba</v>
      </c>
      <c r="J65" s="25">
        <v>1</v>
      </c>
      <c r="K65" s="31">
        <v>200</v>
      </c>
      <c r="M65" s="23" t="str">
        <f>CONCATENATE(CI_!$P$1,E65,", '",F65,"', '",G65,"' , ",H65," , '",I65,"' , ",J65,",",K65)</f>
        <v>EXECUTE [dbo].[SUB_CI_COUNTRY] 0, 0, 0, 205, 'Aruba', 'ARUBA' , 1 , '#205 // Aruba' , 1,200</v>
      </c>
      <c r="N65" s="11"/>
    </row>
    <row r="66" spans="1:14" s="10" customFormat="1" x14ac:dyDescent="0.25">
      <c r="A66" s="19"/>
      <c r="B66" s="20">
        <v>0</v>
      </c>
      <c r="C66" s="20">
        <v>0</v>
      </c>
      <c r="D66" s="20">
        <v>0</v>
      </c>
      <c r="E66" s="27">
        <v>206</v>
      </c>
      <c r="F66" s="21" t="s">
        <v>84</v>
      </c>
      <c r="G66" s="22" t="s">
        <v>314</v>
      </c>
      <c r="H66" s="25">
        <v>1</v>
      </c>
      <c r="I66" s="33" t="str">
        <f t="shared" si="1"/>
        <v>#206 // Commonwealth de las Bahamas</v>
      </c>
      <c r="J66" s="25">
        <v>1</v>
      </c>
      <c r="K66" s="31">
        <v>200</v>
      </c>
      <c r="M66" s="23" t="str">
        <f>CONCATENATE(CI_!$P$1,E66,", '",F66,"', '",G66,"' , ",H66," , '",I66,"' , ",J66,",",K66)</f>
        <v>EXECUTE [dbo].[SUB_CI_COUNTRY] 0, 0, 0, 206, 'Commonwealth de las Bahamas', 'BAHAM' , 1 , '#206 // Commonwealth de las Bahamas' , 1,200</v>
      </c>
      <c r="N66" s="11"/>
    </row>
    <row r="67" spans="1:14" s="10" customFormat="1" x14ac:dyDescent="0.25">
      <c r="A67" s="19"/>
      <c r="B67" s="20">
        <v>0</v>
      </c>
      <c r="C67" s="20">
        <v>0</v>
      </c>
      <c r="D67" s="20">
        <v>0</v>
      </c>
      <c r="E67" s="27">
        <v>207</v>
      </c>
      <c r="F67" s="21" t="s">
        <v>85</v>
      </c>
      <c r="G67" s="22" t="s">
        <v>315</v>
      </c>
      <c r="H67" s="25">
        <v>1</v>
      </c>
      <c r="I67" s="33" t="str">
        <f t="shared" si="1"/>
        <v>#207 // Barbados</v>
      </c>
      <c r="J67" s="25">
        <v>1</v>
      </c>
      <c r="K67" s="31">
        <v>200</v>
      </c>
      <c r="M67" s="23" t="str">
        <f>CONCATENATE(CI_!$P$1,E67,", '",F67,"', '",G67,"' , ",H67," , '",I67,"' , ",J67,",",K67)</f>
        <v>EXECUTE [dbo].[SUB_CI_COUNTRY] 0, 0, 0, 207, 'Barbados', 'BARBA' , 1 , '#207 // Barbados' , 1,200</v>
      </c>
      <c r="N67" s="11"/>
    </row>
    <row r="68" spans="1:14" s="10" customFormat="1" x14ac:dyDescent="0.25">
      <c r="A68" s="19"/>
      <c r="B68" s="20">
        <v>0</v>
      </c>
      <c r="C68" s="20">
        <v>0</v>
      </c>
      <c r="D68" s="20">
        <v>0</v>
      </c>
      <c r="E68" s="27">
        <v>208</v>
      </c>
      <c r="F68" s="21" t="s">
        <v>86</v>
      </c>
      <c r="G68" s="22" t="s">
        <v>316</v>
      </c>
      <c r="H68" s="25">
        <v>1</v>
      </c>
      <c r="I68" s="33" t="str">
        <f t="shared" si="1"/>
        <v>#208 // Belice</v>
      </c>
      <c r="J68" s="25">
        <v>1</v>
      </c>
      <c r="K68" s="31">
        <v>200</v>
      </c>
      <c r="M68" s="23" t="str">
        <f>CONCATENATE(CI_!$P$1,E68,", '",F68,"', '",G68,"' , ",H68," , '",I68,"' , ",J68,",",K68)</f>
        <v>EXECUTE [dbo].[SUB_CI_COUNTRY] 0, 0, 0, 208, 'Belice', 'BELIC' , 1 , '#208 // Belice' , 1,200</v>
      </c>
      <c r="N68" s="11"/>
    </row>
    <row r="69" spans="1:14" s="10" customFormat="1" x14ac:dyDescent="0.25">
      <c r="A69" s="19"/>
      <c r="B69" s="20">
        <v>0</v>
      </c>
      <c r="C69" s="20">
        <v>0</v>
      </c>
      <c r="D69" s="20">
        <v>0</v>
      </c>
      <c r="E69" s="27">
        <v>209</v>
      </c>
      <c r="F69" s="21" t="s">
        <v>87</v>
      </c>
      <c r="G69" s="22" t="s">
        <v>317</v>
      </c>
      <c r="H69" s="25">
        <v>1</v>
      </c>
      <c r="I69" s="33" t="str">
        <f t="shared" si="1"/>
        <v>#209 // Islas Bermudas</v>
      </c>
      <c r="J69" s="25">
        <v>1</v>
      </c>
      <c r="K69" s="31">
        <v>200</v>
      </c>
      <c r="M69" s="23" t="str">
        <f>CONCATENATE(CI_!$P$1,E69,", '",F69,"', '",G69,"' , ",H69," , '",I69,"' , ",J69,",",K69)</f>
        <v>EXECUTE [dbo].[SUB_CI_COUNTRY] 0, 0, 0, 209, 'Islas Bermudas', 'IBERM' , 1 , '#209 // Islas Bermudas' , 1,200</v>
      </c>
      <c r="N69" s="11"/>
    </row>
    <row r="70" spans="1:14" s="10" customFormat="1" x14ac:dyDescent="0.25">
      <c r="A70" s="19"/>
      <c r="B70" s="20">
        <v>0</v>
      </c>
      <c r="C70" s="20">
        <v>0</v>
      </c>
      <c r="D70" s="20">
        <v>0</v>
      </c>
      <c r="E70" s="27">
        <v>210</v>
      </c>
      <c r="F70" s="21" t="s">
        <v>88</v>
      </c>
      <c r="G70" s="22" t="s">
        <v>318</v>
      </c>
      <c r="H70" s="25">
        <v>1</v>
      </c>
      <c r="I70" s="33" t="str">
        <f t="shared" si="1"/>
        <v>#210 // República de Bolivia</v>
      </c>
      <c r="J70" s="25">
        <v>1</v>
      </c>
      <c r="K70" s="31">
        <v>200</v>
      </c>
      <c r="M70" s="23" t="str">
        <f>CONCATENATE(CI_!$P$1,E70,", '",F70,"', '",G70,"' , ",H70," , '",I70,"' , ",J70,",",K70)</f>
        <v>EXECUTE [dbo].[SUB_CI_COUNTRY] 0, 0, 0, 210, 'República de Bolivia', 'BOLIV' , 1 , '#210 // República de Bolivia' , 1,200</v>
      </c>
      <c r="N70" s="11"/>
    </row>
    <row r="71" spans="1:14" s="10" customFormat="1" x14ac:dyDescent="0.25">
      <c r="A71" s="19"/>
      <c r="B71" s="20">
        <v>0</v>
      </c>
      <c r="C71" s="20">
        <v>0</v>
      </c>
      <c r="D71" s="20">
        <v>0</v>
      </c>
      <c r="E71" s="27">
        <v>211</v>
      </c>
      <c r="F71" s="21" t="s">
        <v>89</v>
      </c>
      <c r="G71" s="22" t="s">
        <v>319</v>
      </c>
      <c r="H71" s="25">
        <v>1</v>
      </c>
      <c r="I71" s="33" t="str">
        <f t="shared" si="1"/>
        <v>#211 // República Federativa de Brasil</v>
      </c>
      <c r="J71" s="25">
        <v>1</v>
      </c>
      <c r="K71" s="31">
        <v>200</v>
      </c>
      <c r="M71" s="23" t="str">
        <f>CONCATENATE(CI_!$P$1,E71,", '",F71,"', '",G71,"' , ",H71," , '",I71,"' , ",J71,",",K71)</f>
        <v>EXECUTE [dbo].[SUB_CI_COUNTRY] 0, 0, 0, 211, 'República Federativa de Brasil', 'BRASI' , 1 , '#211 // República Federativa de Brasil' , 1,200</v>
      </c>
      <c r="N71" s="11"/>
    </row>
    <row r="72" spans="1:14" s="10" customFormat="1" x14ac:dyDescent="0.25">
      <c r="A72" s="19"/>
      <c r="B72" s="20">
        <v>0</v>
      </c>
      <c r="C72" s="20">
        <v>0</v>
      </c>
      <c r="D72" s="20">
        <v>0</v>
      </c>
      <c r="E72" s="27">
        <v>212</v>
      </c>
      <c r="F72" s="21" t="s">
        <v>90</v>
      </c>
      <c r="G72" s="22" t="s">
        <v>320</v>
      </c>
      <c r="H72" s="25">
        <v>1</v>
      </c>
      <c r="I72" s="33" t="str">
        <f t="shared" si="1"/>
        <v>#212 // Islas Caimán</v>
      </c>
      <c r="J72" s="25">
        <v>1</v>
      </c>
      <c r="K72" s="31">
        <v>200</v>
      </c>
      <c r="M72" s="23" t="str">
        <f>CONCATENATE(CI_!$P$1,E72,", '",F72,"', '",G72,"' , ",H72," , '",I72,"' , ",J72,",",K72)</f>
        <v>EXECUTE [dbo].[SUB_CI_COUNTRY] 0, 0, 0, 212, 'Islas Caimán', 'ICAIM' , 1 , '#212 // Islas Caimán' , 1,200</v>
      </c>
      <c r="N72" s="11"/>
    </row>
    <row r="73" spans="1:14" s="10" customFormat="1" x14ac:dyDescent="0.25">
      <c r="A73" s="19"/>
      <c r="B73" s="20">
        <v>0</v>
      </c>
      <c r="C73" s="20">
        <v>0</v>
      </c>
      <c r="D73" s="20">
        <v>0</v>
      </c>
      <c r="E73" s="27">
        <v>213</v>
      </c>
      <c r="F73" s="21" t="s">
        <v>91</v>
      </c>
      <c r="G73" s="22" t="s">
        <v>321</v>
      </c>
      <c r="H73" s="25">
        <v>1</v>
      </c>
      <c r="I73" s="33" t="str">
        <f t="shared" ref="I73:I136" si="2">CONCATENATE("#",E73," // ",F73)</f>
        <v>#213 // Canadá</v>
      </c>
      <c r="J73" s="25">
        <v>1</v>
      </c>
      <c r="K73" s="31">
        <v>200</v>
      </c>
      <c r="M73" s="23" t="str">
        <f>CONCATENATE(CI_!$P$1,E73,", '",F73,"', '",G73,"' , ",H73," , '",I73,"' , ",J73,",",K73)</f>
        <v>EXECUTE [dbo].[SUB_CI_COUNTRY] 0, 0, 0, 213, 'Canadá', 'CANAD' , 1 , '#213 // Canadá' , 1,200</v>
      </c>
      <c r="N73" s="11"/>
    </row>
    <row r="74" spans="1:14" s="10" customFormat="1" x14ac:dyDescent="0.25">
      <c r="A74" s="19"/>
      <c r="B74" s="20">
        <v>0</v>
      </c>
      <c r="C74" s="20">
        <v>0</v>
      </c>
      <c r="D74" s="20">
        <v>0</v>
      </c>
      <c r="E74" s="27">
        <v>214</v>
      </c>
      <c r="F74" s="21" t="s">
        <v>92</v>
      </c>
      <c r="G74" s="22" t="s">
        <v>322</v>
      </c>
      <c r="H74" s="25">
        <v>1</v>
      </c>
      <c r="I74" s="33" t="str">
        <f t="shared" si="2"/>
        <v>#214 // República de Colombia</v>
      </c>
      <c r="J74" s="25">
        <v>1</v>
      </c>
      <c r="K74" s="31">
        <v>200</v>
      </c>
      <c r="M74" s="23" t="str">
        <f>CONCATENATE(CI_!$P$1,E74,", '",F74,"', '",G74,"' , ",H74," , '",I74,"' , ",J74,",",K74)</f>
        <v>EXECUTE [dbo].[SUB_CI_COUNTRY] 0, 0, 0, 214, 'República de Colombia', 'COLOM' , 1 , '#214 // República de Colombia' , 1,200</v>
      </c>
      <c r="N74" s="11"/>
    </row>
    <row r="75" spans="1:14" s="10" customFormat="1" x14ac:dyDescent="0.25">
      <c r="A75" s="19"/>
      <c r="B75" s="20">
        <v>0</v>
      </c>
      <c r="C75" s="20">
        <v>0</v>
      </c>
      <c r="D75" s="20">
        <v>0</v>
      </c>
      <c r="E75" s="27">
        <v>215</v>
      </c>
      <c r="F75" s="21" t="s">
        <v>93</v>
      </c>
      <c r="G75" s="22" t="s">
        <v>323</v>
      </c>
      <c r="H75" s="25">
        <v>1</v>
      </c>
      <c r="I75" s="33" t="str">
        <f t="shared" si="2"/>
        <v>#215 // República de Costa rica</v>
      </c>
      <c r="J75" s="25">
        <v>1</v>
      </c>
      <c r="K75" s="31">
        <v>200</v>
      </c>
      <c r="M75" s="23" t="str">
        <f>CONCATENATE(CI_!$P$1,E75,", '",F75,"', '",G75,"' , ",H75," , '",I75,"' , ",J75,",",K75)</f>
        <v>EXECUTE [dbo].[SUB_CI_COUNTRY] 0, 0, 0, 215, 'República de Costa rica', 'CRICA' , 1 , '#215 // República de Costa rica' , 1,200</v>
      </c>
      <c r="N75" s="11"/>
    </row>
    <row r="76" spans="1:14" s="10" customFormat="1" x14ac:dyDescent="0.25">
      <c r="A76" s="19"/>
      <c r="B76" s="20">
        <v>0</v>
      </c>
      <c r="C76" s="20">
        <v>0</v>
      </c>
      <c r="D76" s="20">
        <v>0</v>
      </c>
      <c r="E76" s="27">
        <v>216</v>
      </c>
      <c r="F76" s="21" t="s">
        <v>94</v>
      </c>
      <c r="G76" s="22" t="s">
        <v>324</v>
      </c>
      <c r="H76" s="25">
        <v>1</v>
      </c>
      <c r="I76" s="33" t="str">
        <f t="shared" si="2"/>
        <v>#216 // República de Cuba</v>
      </c>
      <c r="J76" s="25">
        <v>1</v>
      </c>
      <c r="K76" s="31">
        <v>200</v>
      </c>
      <c r="M76" s="23" t="str">
        <f>CONCATENATE(CI_!$P$1,E76,", '",F76,"', '",G76,"' , ",H76," , '",I76,"' , ",J76,",",K76)</f>
        <v>EXECUTE [dbo].[SUB_CI_COUNTRY] 0, 0, 0, 216, 'República de Cuba', 'CUBA' , 1 , '#216 // República de Cuba' , 1,200</v>
      </c>
      <c r="N76" s="11"/>
    </row>
    <row r="77" spans="1:14" s="10" customFormat="1" x14ac:dyDescent="0.25">
      <c r="A77" s="19"/>
      <c r="B77" s="20">
        <v>0</v>
      </c>
      <c r="C77" s="20">
        <v>0</v>
      </c>
      <c r="D77" s="20">
        <v>0</v>
      </c>
      <c r="E77" s="27">
        <v>217</v>
      </c>
      <c r="F77" s="21" t="s">
        <v>95</v>
      </c>
      <c r="G77" s="22" t="s">
        <v>325</v>
      </c>
      <c r="H77" s="25">
        <v>1</v>
      </c>
      <c r="I77" s="33" t="str">
        <f t="shared" si="2"/>
        <v>#217 // República de Chile</v>
      </c>
      <c r="J77" s="25">
        <v>1</v>
      </c>
      <c r="K77" s="31">
        <v>200</v>
      </c>
      <c r="M77" s="23" t="str">
        <f>CONCATENATE(CI_!$P$1,E77,", '",F77,"', '",G77,"' , ",H77," , '",I77,"' , ",J77,",",K77)</f>
        <v>EXECUTE [dbo].[SUB_CI_COUNTRY] 0, 0, 0, 217, 'República de Chile', 'CHILE' , 1 , '#217 // República de Chile' , 1,200</v>
      </c>
      <c r="N77" s="11"/>
    </row>
    <row r="78" spans="1:14" s="10" customFormat="1" x14ac:dyDescent="0.25">
      <c r="A78" s="19"/>
      <c r="B78" s="20">
        <v>0</v>
      </c>
      <c r="C78" s="20">
        <v>0</v>
      </c>
      <c r="D78" s="20">
        <v>0</v>
      </c>
      <c r="E78" s="27">
        <v>218</v>
      </c>
      <c r="F78" s="21" t="s">
        <v>96</v>
      </c>
      <c r="G78" s="22" t="s">
        <v>326</v>
      </c>
      <c r="H78" s="25">
        <v>1</v>
      </c>
      <c r="I78" s="33" t="str">
        <f t="shared" si="2"/>
        <v>#218 // Commonwealth de Dominica</v>
      </c>
      <c r="J78" s="25">
        <v>1</v>
      </c>
      <c r="K78" s="31">
        <v>200</v>
      </c>
      <c r="M78" s="23" t="str">
        <f>CONCATENATE(CI_!$P$1,E78,", '",F78,"', '",G78,"' , ",H78," , '",I78,"' , ",J78,",",K78)</f>
        <v>EXECUTE [dbo].[SUB_CI_COUNTRY] 0, 0, 0, 218, 'Commonwealth de Dominica', 'DMNCA' , 1 , '#218 // Commonwealth de Dominica' , 1,200</v>
      </c>
      <c r="N78" s="11"/>
    </row>
    <row r="79" spans="1:14" s="10" customFormat="1" x14ac:dyDescent="0.25">
      <c r="A79" s="19"/>
      <c r="B79" s="20">
        <v>0</v>
      </c>
      <c r="C79" s="20">
        <v>0</v>
      </c>
      <c r="D79" s="20">
        <v>0</v>
      </c>
      <c r="E79" s="27">
        <v>219</v>
      </c>
      <c r="F79" s="21" t="s">
        <v>97</v>
      </c>
      <c r="G79" s="22" t="s">
        <v>327</v>
      </c>
      <c r="H79" s="25">
        <v>1</v>
      </c>
      <c r="I79" s="33" t="str">
        <f t="shared" si="2"/>
        <v>#219 // República de Ecuador</v>
      </c>
      <c r="J79" s="25">
        <v>1</v>
      </c>
      <c r="K79" s="31">
        <v>200</v>
      </c>
      <c r="M79" s="23" t="str">
        <f>CONCATENATE(CI_!$P$1,E79,", '",F79,"', '",G79,"' , ",H79," , '",I79,"' , ",J79,",",K79)</f>
        <v>EXECUTE [dbo].[SUB_CI_COUNTRY] 0, 0, 0, 219, 'República de Ecuador', 'ECUAD' , 1 , '#219 // República de Ecuador' , 1,200</v>
      </c>
      <c r="N79" s="11"/>
    </row>
    <row r="80" spans="1:14" s="10" customFormat="1" x14ac:dyDescent="0.25">
      <c r="A80" s="19"/>
      <c r="B80" s="20">
        <v>0</v>
      </c>
      <c r="C80" s="20">
        <v>0</v>
      </c>
      <c r="D80" s="20">
        <v>0</v>
      </c>
      <c r="E80" s="27">
        <v>220</v>
      </c>
      <c r="F80" s="21" t="s">
        <v>98</v>
      </c>
      <c r="G80" s="22" t="s">
        <v>328</v>
      </c>
      <c r="H80" s="25">
        <v>1</v>
      </c>
      <c r="I80" s="33" t="str">
        <f t="shared" si="2"/>
        <v>#220 // República de El Salvador</v>
      </c>
      <c r="J80" s="25">
        <v>1</v>
      </c>
      <c r="K80" s="31">
        <v>200</v>
      </c>
      <c r="M80" s="23" t="str">
        <f>CONCATENATE(CI_!$P$1,E80,", '",F80,"', '",G80,"' , ",H80," , '",I80,"' , ",J80,",",K80)</f>
        <v>EXECUTE [dbo].[SUB_CI_COUNTRY] 0, 0, 0, 220, 'República de El Salvador', 'SALVA' , 1 , '#220 // República de El Salvador' , 1,200</v>
      </c>
      <c r="N80" s="11"/>
    </row>
    <row r="81" spans="1:14" s="10" customFormat="1" x14ac:dyDescent="0.25">
      <c r="A81" s="19"/>
      <c r="B81" s="20">
        <v>0</v>
      </c>
      <c r="C81" s="20">
        <v>0</v>
      </c>
      <c r="D81" s="20">
        <v>0</v>
      </c>
      <c r="E81" s="27">
        <v>221</v>
      </c>
      <c r="F81" s="21" t="s">
        <v>99</v>
      </c>
      <c r="G81" s="22" t="s">
        <v>100</v>
      </c>
      <c r="H81" s="25">
        <v>1</v>
      </c>
      <c r="I81" s="33" t="str">
        <f t="shared" si="2"/>
        <v>#221 // Estados Unidos de América</v>
      </c>
      <c r="J81" s="25">
        <v>1</v>
      </c>
      <c r="K81" s="31">
        <v>200</v>
      </c>
      <c r="M81" s="23" t="str">
        <f>CONCATENATE(CI_!$P$1,E81,", '",F81,"', '",G81,"' , ",H81," , '",I81,"' , ",J81,",",K81)</f>
        <v>EXECUTE [dbo].[SUB_CI_COUNTRY] 0, 0, 0, 221, 'Estados Unidos de América', 'USA' , 1 , '#221 // Estados Unidos de América' , 1,200</v>
      </c>
      <c r="N81" s="11"/>
    </row>
    <row r="82" spans="1:14" s="10" customFormat="1" x14ac:dyDescent="0.25">
      <c r="A82" s="19"/>
      <c r="B82" s="20">
        <v>0</v>
      </c>
      <c r="C82" s="20">
        <v>0</v>
      </c>
      <c r="D82" s="20">
        <v>0</v>
      </c>
      <c r="E82" s="27">
        <v>222</v>
      </c>
      <c r="F82" s="21" t="s">
        <v>101</v>
      </c>
      <c r="G82" s="22" t="s">
        <v>329</v>
      </c>
      <c r="H82" s="25">
        <v>1</v>
      </c>
      <c r="I82" s="33" t="str">
        <f t="shared" si="2"/>
        <v>#222 // Granada</v>
      </c>
      <c r="J82" s="25">
        <v>1</v>
      </c>
      <c r="K82" s="31">
        <v>200</v>
      </c>
      <c r="M82" s="23" t="str">
        <f>CONCATENATE(CI_!$P$1,E82,", '",F82,"', '",G82,"' , ",H82," , '",I82,"' , ",J82,",",K82)</f>
        <v>EXECUTE [dbo].[SUB_CI_COUNTRY] 0, 0, 0, 222, 'Granada', 'GRANA' , 1 , '#222 // Granada' , 1,200</v>
      </c>
      <c r="N82" s="11"/>
    </row>
    <row r="83" spans="1:14" s="10" customFormat="1" x14ac:dyDescent="0.25">
      <c r="A83" s="19"/>
      <c r="B83" s="20">
        <v>0</v>
      </c>
      <c r="C83" s="20">
        <v>0</v>
      </c>
      <c r="D83" s="20">
        <v>0</v>
      </c>
      <c r="E83" s="27">
        <v>223</v>
      </c>
      <c r="F83" s="21" t="s">
        <v>102</v>
      </c>
      <c r="G83" s="22" t="s">
        <v>330</v>
      </c>
      <c r="H83" s="25">
        <v>1</v>
      </c>
      <c r="I83" s="33" t="str">
        <f t="shared" si="2"/>
        <v>#223 // Groenlandia</v>
      </c>
      <c r="J83" s="25">
        <v>1</v>
      </c>
      <c r="K83" s="31">
        <v>200</v>
      </c>
      <c r="M83" s="23" t="str">
        <f>CONCATENATE(CI_!$P$1,E83,", '",F83,"', '",G83,"' , ",H83," , '",I83,"' , ",J83,",",K83)</f>
        <v>EXECUTE [dbo].[SUB_CI_COUNTRY] 0, 0, 0, 223, 'Groenlandia', 'GROEN' , 1 , '#223 // Groenlandia' , 1,200</v>
      </c>
      <c r="N83" s="11"/>
    </row>
    <row r="84" spans="1:14" s="10" customFormat="1" x14ac:dyDescent="0.25">
      <c r="A84" s="19"/>
      <c r="B84" s="20">
        <v>0</v>
      </c>
      <c r="C84" s="20">
        <v>0</v>
      </c>
      <c r="D84" s="20">
        <v>0</v>
      </c>
      <c r="E84" s="27">
        <v>224</v>
      </c>
      <c r="F84" s="21" t="s">
        <v>103</v>
      </c>
      <c r="G84" s="22" t="s">
        <v>331</v>
      </c>
      <c r="H84" s="25">
        <v>1</v>
      </c>
      <c r="I84" s="33" t="str">
        <f t="shared" si="2"/>
        <v>#224 // Departamento de Guadalupe</v>
      </c>
      <c r="J84" s="25">
        <v>1</v>
      </c>
      <c r="K84" s="31">
        <v>200</v>
      </c>
      <c r="M84" s="23" t="str">
        <f>CONCATENATE(CI_!$P$1,E84,", '",F84,"', '",G84,"' , ",H84," , '",I84,"' , ",J84,",",K84)</f>
        <v>EXECUTE [dbo].[SUB_CI_COUNTRY] 0, 0, 0, 224, 'Departamento de Guadalupe', 'GDLPE' , 1 , '#224 // Departamento de Guadalupe' , 1,200</v>
      </c>
      <c r="N84" s="11"/>
    </row>
    <row r="85" spans="1:14" s="10" customFormat="1" x14ac:dyDescent="0.25">
      <c r="A85" s="19"/>
      <c r="B85" s="20">
        <v>0</v>
      </c>
      <c r="C85" s="20">
        <v>0</v>
      </c>
      <c r="D85" s="20">
        <v>0</v>
      </c>
      <c r="E85" s="27">
        <v>225</v>
      </c>
      <c r="F85" s="21" t="s">
        <v>104</v>
      </c>
      <c r="G85" s="22" t="s">
        <v>332</v>
      </c>
      <c r="H85" s="25">
        <v>1</v>
      </c>
      <c r="I85" s="33" t="str">
        <f t="shared" si="2"/>
        <v>#225 // República de Guatemala</v>
      </c>
      <c r="J85" s="25">
        <v>1</v>
      </c>
      <c r="K85" s="31">
        <v>200</v>
      </c>
      <c r="M85" s="23" t="str">
        <f>CONCATENATE(CI_!$P$1,E85,", '",F85,"', '",G85,"' , ",H85," , '",I85,"' , ",J85,",",K85)</f>
        <v>EXECUTE [dbo].[SUB_CI_COUNTRY] 0, 0, 0, 225, 'República de Guatemala', 'GUATE' , 1 , '#225 // República de Guatemala' , 1,200</v>
      </c>
      <c r="N85" s="11"/>
    </row>
    <row r="86" spans="1:14" s="10" customFormat="1" x14ac:dyDescent="0.25">
      <c r="A86" s="19"/>
      <c r="B86" s="20">
        <v>0</v>
      </c>
      <c r="C86" s="20">
        <v>0</v>
      </c>
      <c r="D86" s="20">
        <v>0</v>
      </c>
      <c r="E86" s="27">
        <v>226</v>
      </c>
      <c r="F86" s="21" t="s">
        <v>105</v>
      </c>
      <c r="G86" s="22" t="s">
        <v>333</v>
      </c>
      <c r="H86" s="25">
        <v>1</v>
      </c>
      <c r="I86" s="33" t="str">
        <f t="shared" si="2"/>
        <v>#226 // República Cooperativa de Guyana</v>
      </c>
      <c r="J86" s="25">
        <v>1</v>
      </c>
      <c r="K86" s="31">
        <v>200</v>
      </c>
      <c r="M86" s="23" t="str">
        <f>CONCATENATE(CI_!$P$1,E86,", '",F86,"', '",G86,"' , ",H86," , '",I86,"' , ",J86,",",K86)</f>
        <v>EXECUTE [dbo].[SUB_CI_COUNTRY] 0, 0, 0, 226, 'República Cooperativa de Guyana', 'GUYAN' , 1 , '#226 // República Cooperativa de Guyana' , 1,200</v>
      </c>
      <c r="N86" s="11"/>
    </row>
    <row r="87" spans="1:14" s="10" customFormat="1" x14ac:dyDescent="0.25">
      <c r="A87" s="19"/>
      <c r="B87" s="20">
        <v>0</v>
      </c>
      <c r="C87" s="20">
        <v>0</v>
      </c>
      <c r="D87" s="20">
        <v>0</v>
      </c>
      <c r="E87" s="27">
        <v>227</v>
      </c>
      <c r="F87" s="21" t="s">
        <v>106</v>
      </c>
      <c r="G87" s="22" t="s">
        <v>334</v>
      </c>
      <c r="H87" s="25">
        <v>1</v>
      </c>
      <c r="I87" s="33" t="str">
        <f t="shared" si="2"/>
        <v>#227 // Guayana Francesa</v>
      </c>
      <c r="J87" s="25">
        <v>1</v>
      </c>
      <c r="K87" s="31">
        <v>200</v>
      </c>
      <c r="M87" s="23" t="str">
        <f>CONCATENATE(CI_!$P$1,E87,", '",F87,"', '",G87,"' , ",H87," , '",I87,"' , ",J87,",",K87)</f>
        <v>EXECUTE [dbo].[SUB_CI_COUNTRY] 0, 0, 0, 227, 'Guayana Francesa', 'GFRAN' , 1 , '#227 // Guayana Francesa' , 1,200</v>
      </c>
      <c r="N87" s="11"/>
    </row>
    <row r="88" spans="1:14" s="10" customFormat="1" x14ac:dyDescent="0.25">
      <c r="A88" s="19"/>
      <c r="B88" s="20">
        <v>0</v>
      </c>
      <c r="C88" s="20">
        <v>0</v>
      </c>
      <c r="D88" s="20">
        <v>0</v>
      </c>
      <c r="E88" s="27">
        <v>228</v>
      </c>
      <c r="F88" s="21" t="s">
        <v>107</v>
      </c>
      <c r="G88" s="22" t="s">
        <v>335</v>
      </c>
      <c r="H88" s="25">
        <v>1</v>
      </c>
      <c r="I88" s="33" t="str">
        <f t="shared" si="2"/>
        <v>#228 // República de Haití</v>
      </c>
      <c r="J88" s="25">
        <v>1</v>
      </c>
      <c r="K88" s="31">
        <v>200</v>
      </c>
      <c r="M88" s="23" t="str">
        <f>CONCATENATE(CI_!$P$1,E88,", '",F88,"', '",G88,"' , ",H88," , '",I88,"' , ",J88,",",K88)</f>
        <v>EXECUTE [dbo].[SUB_CI_COUNTRY] 0, 0, 0, 228, 'República de Haití', 'HAITÍ' , 1 , '#228 // República de Haití' , 1,200</v>
      </c>
      <c r="N88" s="11"/>
    </row>
    <row r="89" spans="1:14" s="10" customFormat="1" x14ac:dyDescent="0.25">
      <c r="A89" s="19"/>
      <c r="B89" s="20">
        <v>0</v>
      </c>
      <c r="C89" s="20">
        <v>0</v>
      </c>
      <c r="D89" s="20">
        <v>0</v>
      </c>
      <c r="E89" s="27">
        <v>229</v>
      </c>
      <c r="F89" s="21" t="s">
        <v>108</v>
      </c>
      <c r="G89" s="22" t="s">
        <v>336</v>
      </c>
      <c r="H89" s="25">
        <v>1</v>
      </c>
      <c r="I89" s="33" t="str">
        <f t="shared" si="2"/>
        <v>#229 // República de Honduras</v>
      </c>
      <c r="J89" s="25">
        <v>1</v>
      </c>
      <c r="K89" s="31">
        <v>200</v>
      </c>
      <c r="M89" s="23" t="str">
        <f>CONCATENATE(CI_!$P$1,E89,", '",F89,"', '",G89,"' , ",H89," , '",I89,"' , ",J89,",",K89)</f>
        <v>EXECUTE [dbo].[SUB_CI_COUNTRY] 0, 0, 0, 229, 'República de Honduras', 'HONDU' , 1 , '#229 // República de Honduras' , 1,200</v>
      </c>
      <c r="N89" s="11"/>
    </row>
    <row r="90" spans="1:14" s="10" customFormat="1" x14ac:dyDescent="0.25">
      <c r="A90" s="19"/>
      <c r="B90" s="20">
        <v>0</v>
      </c>
      <c r="C90" s="20">
        <v>0</v>
      </c>
      <c r="D90" s="20">
        <v>0</v>
      </c>
      <c r="E90" s="27">
        <v>230</v>
      </c>
      <c r="F90" s="21" t="s">
        <v>109</v>
      </c>
      <c r="G90" s="22" t="s">
        <v>337</v>
      </c>
      <c r="H90" s="25">
        <v>1</v>
      </c>
      <c r="I90" s="33" t="str">
        <f t="shared" si="2"/>
        <v>#230 // Jamaica</v>
      </c>
      <c r="J90" s="25">
        <v>1</v>
      </c>
      <c r="K90" s="31">
        <v>200</v>
      </c>
      <c r="M90" s="23" t="str">
        <f>CONCATENATE(CI_!$P$1,E90,", '",F90,"', '",G90,"' , ",H90," , '",I90,"' , ",J90,",",K90)</f>
        <v>EXECUTE [dbo].[SUB_CI_COUNTRY] 0, 0, 0, 230, 'Jamaica', 'JAMAI' , 1 , '#230 // Jamaica' , 1,200</v>
      </c>
      <c r="N90" s="11"/>
    </row>
    <row r="91" spans="1:14" s="10" customFormat="1" x14ac:dyDescent="0.25">
      <c r="A91" s="19"/>
      <c r="B91" s="20">
        <v>0</v>
      </c>
      <c r="C91" s="20">
        <v>0</v>
      </c>
      <c r="D91" s="20">
        <v>0</v>
      </c>
      <c r="E91" s="27">
        <v>231</v>
      </c>
      <c r="F91" s="21" t="s">
        <v>110</v>
      </c>
      <c r="G91" s="22" t="s">
        <v>338</v>
      </c>
      <c r="H91" s="25">
        <v>1</v>
      </c>
      <c r="I91" s="33" t="str">
        <f t="shared" si="2"/>
        <v>#231 // Islas Malvinas</v>
      </c>
      <c r="J91" s="25">
        <v>1</v>
      </c>
      <c r="K91" s="31">
        <v>200</v>
      </c>
      <c r="M91" s="23" t="str">
        <f>CONCATENATE(CI_!$P$1,E91,", '",F91,"', '",G91,"' , ",H91," , '",I91,"' , ",J91,",",K91)</f>
        <v>EXECUTE [dbo].[SUB_CI_COUNTRY] 0, 0, 0, 231, 'Islas Malvinas', 'IMALV' , 1 , '#231 // Islas Malvinas' , 1,200</v>
      </c>
      <c r="N91" s="11"/>
    </row>
    <row r="92" spans="1:14" s="10" customFormat="1" x14ac:dyDescent="0.25">
      <c r="A92" s="19"/>
      <c r="B92" s="20">
        <v>0</v>
      </c>
      <c r="C92" s="20">
        <v>0</v>
      </c>
      <c r="D92" s="20">
        <v>0</v>
      </c>
      <c r="E92" s="27">
        <v>233</v>
      </c>
      <c r="F92" s="21" t="s">
        <v>111</v>
      </c>
      <c r="G92" s="22" t="s">
        <v>339</v>
      </c>
      <c r="H92" s="25">
        <v>1</v>
      </c>
      <c r="I92" s="33" t="str">
        <f t="shared" si="2"/>
        <v>#233 // Isla de Montserrat</v>
      </c>
      <c r="J92" s="25">
        <v>1</v>
      </c>
      <c r="K92" s="31">
        <v>200</v>
      </c>
      <c r="M92" s="23" t="str">
        <f>CONCATENATE(CI_!$P$1,E92,", '",F92,"', '",G92,"' , ",H92," , '",I92,"' , ",J92,",",K92)</f>
        <v>EXECUTE [dbo].[SUB_CI_COUNTRY] 0, 0, 0, 233, 'Isla de Montserrat', 'IMONT' , 1 , '#233 // Isla de Montserrat' , 1,200</v>
      </c>
      <c r="N92" s="11"/>
    </row>
    <row r="93" spans="1:14" s="10" customFormat="1" x14ac:dyDescent="0.25">
      <c r="A93" s="19"/>
      <c r="B93" s="20">
        <v>0</v>
      </c>
      <c r="C93" s="20">
        <v>0</v>
      </c>
      <c r="D93" s="20">
        <v>0</v>
      </c>
      <c r="E93" s="27">
        <v>234</v>
      </c>
      <c r="F93" s="21" t="s">
        <v>112</v>
      </c>
      <c r="G93" s="22" t="s">
        <v>340</v>
      </c>
      <c r="H93" s="25">
        <v>1</v>
      </c>
      <c r="I93" s="33" t="str">
        <f t="shared" si="2"/>
        <v>#234 // República de Nicaragua</v>
      </c>
      <c r="J93" s="25">
        <v>1</v>
      </c>
      <c r="K93" s="31">
        <v>200</v>
      </c>
      <c r="M93" s="23" t="str">
        <f>CONCATENATE(CI_!$P$1,E93,", '",F93,"', '",G93,"' , ",H93," , '",I93,"' , ",J93,",",K93)</f>
        <v>EXECUTE [dbo].[SUB_CI_COUNTRY] 0, 0, 0, 234, 'República de Nicaragua', 'NICAR' , 1 , '#234 // República de Nicaragua' , 1,200</v>
      </c>
      <c r="N93" s="11"/>
    </row>
    <row r="94" spans="1:14" s="10" customFormat="1" x14ac:dyDescent="0.25">
      <c r="A94" s="19"/>
      <c r="B94" s="20">
        <v>0</v>
      </c>
      <c r="C94" s="20">
        <v>0</v>
      </c>
      <c r="D94" s="20">
        <v>0</v>
      </c>
      <c r="E94" s="27">
        <v>235</v>
      </c>
      <c r="F94" s="21" t="s">
        <v>113</v>
      </c>
      <c r="G94" s="22" t="s">
        <v>341</v>
      </c>
      <c r="H94" s="25">
        <v>1</v>
      </c>
      <c r="I94" s="33" t="str">
        <f t="shared" si="2"/>
        <v>#235 // República de Panamá</v>
      </c>
      <c r="J94" s="25">
        <v>1</v>
      </c>
      <c r="K94" s="31">
        <v>200</v>
      </c>
      <c r="M94" s="23" t="str">
        <f>CONCATENATE(CI_!$P$1,E94,", '",F94,"', '",G94,"' , ",H94," , '",I94,"' , ",J94,",",K94)</f>
        <v>EXECUTE [dbo].[SUB_CI_COUNTRY] 0, 0, 0, 235, 'República de Panamá', 'PANAM' , 1 , '#235 // República de Panamá' , 1,200</v>
      </c>
      <c r="N94" s="11"/>
    </row>
    <row r="95" spans="1:14" s="10" customFormat="1" x14ac:dyDescent="0.25">
      <c r="A95" s="19"/>
      <c r="B95" s="20">
        <v>0</v>
      </c>
      <c r="C95" s="20">
        <v>0</v>
      </c>
      <c r="D95" s="20">
        <v>0</v>
      </c>
      <c r="E95" s="27">
        <v>236</v>
      </c>
      <c r="F95" s="21" t="s">
        <v>114</v>
      </c>
      <c r="G95" s="22" t="s">
        <v>342</v>
      </c>
      <c r="H95" s="25">
        <v>1</v>
      </c>
      <c r="I95" s="33" t="str">
        <f t="shared" si="2"/>
        <v>#236 // República de Paraguay</v>
      </c>
      <c r="J95" s="25">
        <v>1</v>
      </c>
      <c r="K95" s="31">
        <v>200</v>
      </c>
      <c r="M95" s="23" t="str">
        <f>CONCATENATE(CI_!$P$1,E95,", '",F95,"', '",G95,"' , ",H95," , '",I95,"' , ",J95,",",K95)</f>
        <v>EXECUTE [dbo].[SUB_CI_COUNTRY] 0, 0, 0, 236, 'República de Paraguay', 'PARAG' , 1 , '#236 // República de Paraguay' , 1,200</v>
      </c>
      <c r="N95" s="11"/>
    </row>
    <row r="96" spans="1:14" s="10" customFormat="1" x14ac:dyDescent="0.25">
      <c r="A96" s="19"/>
      <c r="B96" s="20">
        <v>0</v>
      </c>
      <c r="C96" s="20">
        <v>0</v>
      </c>
      <c r="D96" s="20">
        <v>0</v>
      </c>
      <c r="E96" s="27">
        <v>237</v>
      </c>
      <c r="F96" s="21" t="s">
        <v>115</v>
      </c>
      <c r="G96" s="22" t="s">
        <v>343</v>
      </c>
      <c r="H96" s="25">
        <v>1</v>
      </c>
      <c r="I96" s="33" t="str">
        <f t="shared" si="2"/>
        <v>#237 // República de Perú</v>
      </c>
      <c r="J96" s="25">
        <v>1</v>
      </c>
      <c r="K96" s="31">
        <v>200</v>
      </c>
      <c r="M96" s="23" t="str">
        <f>CONCATENATE(CI_!$P$1,E96,", '",F96,"', '",G96,"' , ",H96," , '",I96,"' , ",J96,",",K96)</f>
        <v>EXECUTE [dbo].[SUB_CI_COUNTRY] 0, 0, 0, 237, 'República de Perú', 'PERÚ' , 1 , '#237 // República de Perú' , 1,200</v>
      </c>
      <c r="N96" s="11"/>
    </row>
    <row r="97" spans="1:14" s="10" customFormat="1" x14ac:dyDescent="0.25">
      <c r="A97" s="19"/>
      <c r="B97" s="20">
        <v>0</v>
      </c>
      <c r="C97" s="20">
        <v>0</v>
      </c>
      <c r="D97" s="20">
        <v>0</v>
      </c>
      <c r="E97" s="27">
        <v>238</v>
      </c>
      <c r="F97" s="21" t="s">
        <v>116</v>
      </c>
      <c r="G97" s="22" t="s">
        <v>344</v>
      </c>
      <c r="H97" s="25">
        <v>1</v>
      </c>
      <c r="I97" s="33" t="str">
        <f t="shared" si="2"/>
        <v>#238 // Estado Libre Asociado de Puerto Rico</v>
      </c>
      <c r="J97" s="25">
        <v>1</v>
      </c>
      <c r="K97" s="31">
        <v>200</v>
      </c>
      <c r="M97" s="23" t="str">
        <f>CONCATENATE(CI_!$P$1,E97,", '",F97,"', '",G97,"' , ",H97," , '",I97,"' , ",J97,",",K97)</f>
        <v>EXECUTE [dbo].[SUB_CI_COUNTRY] 0, 0, 0, 238, 'Estado Libre Asociado de Puerto Rico', 'PRICO' , 1 , '#238 // Estado Libre Asociado de Puerto Rico' , 1,200</v>
      </c>
      <c r="N97" s="11"/>
    </row>
    <row r="98" spans="1:14" s="10" customFormat="1" x14ac:dyDescent="0.25">
      <c r="A98" s="19"/>
      <c r="B98" s="20">
        <v>0</v>
      </c>
      <c r="C98" s="20">
        <v>0</v>
      </c>
      <c r="D98" s="20">
        <v>0</v>
      </c>
      <c r="E98" s="27">
        <v>239</v>
      </c>
      <c r="F98" s="21" t="s">
        <v>117</v>
      </c>
      <c r="G98" s="22" t="s">
        <v>345</v>
      </c>
      <c r="H98" s="25">
        <v>1</v>
      </c>
      <c r="I98" s="33" t="str">
        <f t="shared" si="2"/>
        <v>#239 // República Dominicana</v>
      </c>
      <c r="J98" s="25">
        <v>1</v>
      </c>
      <c r="K98" s="31">
        <v>200</v>
      </c>
      <c r="M98" s="23" t="str">
        <f>CONCATENATE(CI_!$P$1,E98,", '",F98,"', '",G98,"' , ",H98," , '",I98,"' , ",J98,",",K98)</f>
        <v>EXECUTE [dbo].[SUB_CI_COUNTRY] 0, 0, 0, 239, 'República Dominicana', 'RDOMI' , 1 , '#239 // República Dominicana' , 1,200</v>
      </c>
      <c r="N98" s="11"/>
    </row>
    <row r="99" spans="1:14" s="10" customFormat="1" x14ac:dyDescent="0.25">
      <c r="A99" s="19"/>
      <c r="B99" s="20">
        <v>0</v>
      </c>
      <c r="C99" s="20">
        <v>0</v>
      </c>
      <c r="D99" s="20">
        <v>0</v>
      </c>
      <c r="E99" s="27">
        <v>240</v>
      </c>
      <c r="F99" s="21" t="s">
        <v>118</v>
      </c>
      <c r="G99" s="22" t="s">
        <v>346</v>
      </c>
      <c r="H99" s="25">
        <v>1</v>
      </c>
      <c r="I99" s="33" t="str">
        <f t="shared" si="2"/>
        <v>#240 // Federación de San Cristóbal y Nieves</v>
      </c>
      <c r="J99" s="25">
        <v>1</v>
      </c>
      <c r="K99" s="31">
        <v>200</v>
      </c>
      <c r="M99" s="23" t="str">
        <f>CONCATENATE(CI_!$P$1,E99,", '",F99,"', '",G99,"' , ",H99," , '",I99,"' , ",J99,",",K99)</f>
        <v>EXECUTE [dbo].[SUB_CI_COUNTRY] 0, 0, 0, 240, 'Federación de San Cristóbal y Nieves', 'SCYNI' , 1 , '#240 // Federación de San Cristóbal y Nieves' , 1,200</v>
      </c>
      <c r="N99" s="11"/>
    </row>
    <row r="100" spans="1:14" s="10" customFormat="1" x14ac:dyDescent="0.25">
      <c r="A100" s="19"/>
      <c r="B100" s="20">
        <v>0</v>
      </c>
      <c r="C100" s="20">
        <v>0</v>
      </c>
      <c r="D100" s="20">
        <v>0</v>
      </c>
      <c r="E100" s="27">
        <v>241</v>
      </c>
      <c r="F100" s="21" t="s">
        <v>119</v>
      </c>
      <c r="G100" s="22" t="s">
        <v>347</v>
      </c>
      <c r="H100" s="25">
        <v>1</v>
      </c>
      <c r="I100" s="33" t="str">
        <f t="shared" si="2"/>
        <v>#241 // Islas de Man</v>
      </c>
      <c r="J100" s="25">
        <v>1</v>
      </c>
      <c r="K100" s="31">
        <v>200</v>
      </c>
      <c r="M100" s="23" t="str">
        <f>CONCATENATE(CI_!$P$1,E100,", '",F100,"', '",G100,"' , ",H100," , '",I100,"' , ",J100,",",K100)</f>
        <v>EXECUTE [dbo].[SUB_CI_COUNTRY] 0, 0, 0, 241, 'Islas de Man', 'IMAN' , 1 , '#241 // Islas de Man' , 1,200</v>
      </c>
      <c r="N100" s="11"/>
    </row>
    <row r="101" spans="1:14" s="10" customFormat="1" x14ac:dyDescent="0.25">
      <c r="A101" s="19"/>
      <c r="B101" s="20">
        <v>0</v>
      </c>
      <c r="C101" s="20">
        <v>0</v>
      </c>
      <c r="D101" s="20">
        <v>0</v>
      </c>
      <c r="E101" s="27">
        <v>242</v>
      </c>
      <c r="F101" s="21" t="s">
        <v>120</v>
      </c>
      <c r="G101" s="22" t="s">
        <v>348</v>
      </c>
      <c r="H101" s="25">
        <v>1</v>
      </c>
      <c r="I101" s="33" t="str">
        <f t="shared" si="2"/>
        <v>#242 // San Vicente y las Granadinas</v>
      </c>
      <c r="J101" s="25">
        <v>1</v>
      </c>
      <c r="K101" s="31">
        <v>200</v>
      </c>
      <c r="M101" s="23" t="str">
        <f>CONCATENATE(CI_!$P$1,E101,", '",F101,"', '",G101,"' , ",H101," , '",I101,"' , ",J101,",",K101)</f>
        <v>EXECUTE [dbo].[SUB_CI_COUNTRY] 0, 0, 0, 242, 'San Vicente y las Granadinas', 'SVYGR' , 1 , '#242 // San Vicente y las Granadinas' , 1,200</v>
      </c>
      <c r="N101" s="11"/>
    </row>
    <row r="102" spans="1:14" s="10" customFormat="1" x14ac:dyDescent="0.25">
      <c r="A102" s="19"/>
      <c r="B102" s="20">
        <v>0</v>
      </c>
      <c r="C102" s="20">
        <v>0</v>
      </c>
      <c r="D102" s="20">
        <v>0</v>
      </c>
      <c r="E102" s="27">
        <v>243</v>
      </c>
      <c r="F102" s="21" t="s">
        <v>121</v>
      </c>
      <c r="G102" s="22" t="s">
        <v>349</v>
      </c>
      <c r="H102" s="25">
        <v>1</v>
      </c>
      <c r="I102" s="33" t="str">
        <f t="shared" si="2"/>
        <v>#243 // Santa Lucía</v>
      </c>
      <c r="J102" s="25">
        <v>1</v>
      </c>
      <c r="K102" s="31">
        <v>200</v>
      </c>
      <c r="M102" s="23" t="str">
        <f>CONCATENATE(CI_!$P$1,E102,", '",F102,"', '",G102,"' , ",H102," , '",I102,"' , ",J102,",",K102)</f>
        <v>EXECUTE [dbo].[SUB_CI_COUNTRY] 0, 0, 0, 243, 'Santa Lucía', 'STALU' , 1 , '#243 // Santa Lucía' , 1,200</v>
      </c>
      <c r="N102" s="11"/>
    </row>
    <row r="103" spans="1:14" s="10" customFormat="1" x14ac:dyDescent="0.25">
      <c r="A103" s="19"/>
      <c r="B103" s="20">
        <v>0</v>
      </c>
      <c r="C103" s="20">
        <v>0</v>
      </c>
      <c r="D103" s="20">
        <v>0</v>
      </c>
      <c r="E103" s="27">
        <v>244</v>
      </c>
      <c r="F103" s="21" t="s">
        <v>122</v>
      </c>
      <c r="G103" s="22" t="s">
        <v>350</v>
      </c>
      <c r="H103" s="25">
        <v>1</v>
      </c>
      <c r="I103" s="33" t="str">
        <f t="shared" si="2"/>
        <v>#244 // República de Surinam</v>
      </c>
      <c r="J103" s="25">
        <v>1</v>
      </c>
      <c r="K103" s="31">
        <v>200</v>
      </c>
      <c r="M103" s="23" t="str">
        <f>CONCATENATE(CI_!$P$1,E103,", '",F103,"', '",G103,"' , ",H103," , '",I103,"' , ",J103,",",K103)</f>
        <v>EXECUTE [dbo].[SUB_CI_COUNTRY] 0, 0, 0, 244, 'República de Surinam', 'SURIN' , 1 , '#244 // República de Surinam' , 1,200</v>
      </c>
      <c r="N103" s="11"/>
    </row>
    <row r="104" spans="1:14" s="10" customFormat="1" x14ac:dyDescent="0.25">
      <c r="A104" s="19"/>
      <c r="B104" s="20">
        <v>0</v>
      </c>
      <c r="C104" s="20">
        <v>0</v>
      </c>
      <c r="D104" s="20">
        <v>0</v>
      </c>
      <c r="E104" s="27">
        <v>245</v>
      </c>
      <c r="F104" s="21" t="s">
        <v>123</v>
      </c>
      <c r="G104" s="22" t="s">
        <v>351</v>
      </c>
      <c r="H104" s="25">
        <v>1</v>
      </c>
      <c r="I104" s="33" t="str">
        <f t="shared" si="2"/>
        <v>#245 // República de Trinidad y Tobago</v>
      </c>
      <c r="J104" s="25">
        <v>1</v>
      </c>
      <c r="K104" s="31">
        <v>200</v>
      </c>
      <c r="M104" s="23" t="str">
        <f>CONCATENATE(CI_!$P$1,E104,", '",F104,"', '",G104,"' , ",H104," , '",I104,"' , ",J104,",",K104)</f>
        <v>EXECUTE [dbo].[SUB_CI_COUNTRY] 0, 0, 0, 245, 'República de Trinidad y Tobago', 'TYTOB' , 1 , '#245 // República de Trinidad y Tobago' , 1,200</v>
      </c>
      <c r="N104" s="11"/>
    </row>
    <row r="105" spans="1:14" s="10" customFormat="1" x14ac:dyDescent="0.25">
      <c r="A105" s="19"/>
      <c r="B105" s="20">
        <v>0</v>
      </c>
      <c r="C105" s="20">
        <v>0</v>
      </c>
      <c r="D105" s="20">
        <v>0</v>
      </c>
      <c r="E105" s="27">
        <v>246</v>
      </c>
      <c r="F105" s="21" t="s">
        <v>124</v>
      </c>
      <c r="G105" s="22" t="s">
        <v>352</v>
      </c>
      <c r="H105" s="25">
        <v>1</v>
      </c>
      <c r="I105" s="33" t="str">
        <f t="shared" si="2"/>
        <v>#246 // Islas Turcas y Caicos</v>
      </c>
      <c r="J105" s="25">
        <v>1</v>
      </c>
      <c r="K105" s="31">
        <v>200</v>
      </c>
      <c r="M105" s="23" t="str">
        <f>CONCATENATE(CI_!$P$1,E105,", '",F105,"', '",G105,"' , ",H105," , '",I105,"' , ",J105,",",K105)</f>
        <v>EXECUTE [dbo].[SUB_CI_COUNTRY] 0, 0, 0, 246, 'Islas Turcas y Caicos', 'ITURC' , 1 , '#246 // Islas Turcas y Caicos' , 1,200</v>
      </c>
      <c r="N105" s="11"/>
    </row>
    <row r="106" spans="1:14" s="10" customFormat="1" x14ac:dyDescent="0.25">
      <c r="A106" s="19"/>
      <c r="B106" s="20">
        <v>0</v>
      </c>
      <c r="C106" s="20">
        <v>0</v>
      </c>
      <c r="D106" s="20">
        <v>0</v>
      </c>
      <c r="E106" s="27">
        <v>247</v>
      </c>
      <c r="F106" s="21" t="s">
        <v>125</v>
      </c>
      <c r="G106" s="22" t="s">
        <v>353</v>
      </c>
      <c r="H106" s="25">
        <v>1</v>
      </c>
      <c r="I106" s="33" t="str">
        <f t="shared" si="2"/>
        <v>#247 // República Oriental del Uruguay</v>
      </c>
      <c r="J106" s="25">
        <v>1</v>
      </c>
      <c r="K106" s="31">
        <v>200</v>
      </c>
      <c r="M106" s="23" t="str">
        <f>CONCATENATE(CI_!$P$1,E106,", '",F106,"', '",G106,"' , ",H106," , '",I106,"' , ",J106,",",K106)</f>
        <v>EXECUTE [dbo].[SUB_CI_COUNTRY] 0, 0, 0, 247, 'República Oriental del Uruguay', 'URUGU' , 1 , '#247 // República Oriental del Uruguay' , 1,200</v>
      </c>
      <c r="N106" s="11"/>
    </row>
    <row r="107" spans="1:14" s="10" customFormat="1" x14ac:dyDescent="0.25">
      <c r="A107" s="19"/>
      <c r="B107" s="20">
        <v>0</v>
      </c>
      <c r="C107" s="20">
        <v>0</v>
      </c>
      <c r="D107" s="20">
        <v>0</v>
      </c>
      <c r="E107" s="27">
        <v>248</v>
      </c>
      <c r="F107" s="21" t="s">
        <v>126</v>
      </c>
      <c r="G107" s="22" t="s">
        <v>354</v>
      </c>
      <c r="H107" s="25">
        <v>1</v>
      </c>
      <c r="I107" s="33" t="str">
        <f t="shared" si="2"/>
        <v>#248 // Islas Vírgenes de los Estados Unidos</v>
      </c>
      <c r="J107" s="25">
        <v>1</v>
      </c>
      <c r="K107" s="31">
        <v>200</v>
      </c>
      <c r="M107" s="23" t="str">
        <f>CONCATENATE(CI_!$P$1,E107,", '",F107,"', '",G107,"' , ",H107," , '",I107,"' , ",J107,",",K107)</f>
        <v>EXECUTE [dbo].[SUB_CI_COUNTRY] 0, 0, 0, 248, 'Islas Vírgenes de los Estados Unidos', 'IVÍES' , 1 , '#248 // Islas Vírgenes de los Estados Unidos' , 1,200</v>
      </c>
      <c r="N107" s="11"/>
    </row>
    <row r="108" spans="1:14" s="10" customFormat="1" x14ac:dyDescent="0.25">
      <c r="A108" s="19"/>
      <c r="B108" s="20">
        <v>0</v>
      </c>
      <c r="C108" s="20">
        <v>0</v>
      </c>
      <c r="D108" s="20">
        <v>0</v>
      </c>
      <c r="E108" s="27">
        <v>249</v>
      </c>
      <c r="F108" s="21" t="s">
        <v>127</v>
      </c>
      <c r="G108" s="22" t="s">
        <v>355</v>
      </c>
      <c r="H108" s="25">
        <v>1</v>
      </c>
      <c r="I108" s="33" t="str">
        <f t="shared" si="2"/>
        <v>#249 // Islas Vírgenes Británicas</v>
      </c>
      <c r="J108" s="25">
        <v>1</v>
      </c>
      <c r="K108" s="31">
        <v>200</v>
      </c>
      <c r="M108" s="23" t="str">
        <f>CONCATENATE(CI_!$P$1,E108,", '",F108,"', '",G108,"' , ",H108," , '",I108,"' , ",J108,",",K108)</f>
        <v>EXECUTE [dbo].[SUB_CI_COUNTRY] 0, 0, 0, 249, 'Islas Vírgenes Británicas', 'IVÍBR' , 1 , '#249 // Islas Vírgenes Británicas' , 1,200</v>
      </c>
      <c r="N108" s="11"/>
    </row>
    <row r="109" spans="1:14" s="10" customFormat="1" x14ac:dyDescent="0.25">
      <c r="A109" s="19"/>
      <c r="B109" s="20">
        <v>0</v>
      </c>
      <c r="C109" s="20">
        <v>0</v>
      </c>
      <c r="D109" s="20">
        <v>0</v>
      </c>
      <c r="E109" s="27">
        <v>250</v>
      </c>
      <c r="F109" s="21" t="s">
        <v>128</v>
      </c>
      <c r="G109" s="22" t="s">
        <v>356</v>
      </c>
      <c r="H109" s="25">
        <v>1</v>
      </c>
      <c r="I109" s="33" t="str">
        <f t="shared" si="2"/>
        <v>#250 // República Boliviana de Venezuela</v>
      </c>
      <c r="J109" s="25">
        <v>1</v>
      </c>
      <c r="K109" s="31">
        <v>200</v>
      </c>
      <c r="M109" s="23" t="str">
        <f>CONCATENATE(CI_!$P$1,E109,", '",F109,"', '",G109,"' , ",H109," , '",I109,"' , ",J109,",",K109)</f>
        <v>EXECUTE [dbo].[SUB_CI_COUNTRY] 0, 0, 0, 250, 'República Boliviana de Venezuela', 'VENEZ' , 1 , '#250 // República Boliviana de Venezuela' , 1,200</v>
      </c>
      <c r="N109" s="11"/>
    </row>
    <row r="110" spans="1:14" s="10" customFormat="1" x14ac:dyDescent="0.25">
      <c r="A110" s="19"/>
      <c r="B110" s="20">
        <v>0</v>
      </c>
      <c r="C110" s="20">
        <v>0</v>
      </c>
      <c r="D110" s="20">
        <v>0</v>
      </c>
      <c r="E110" s="27">
        <v>251</v>
      </c>
      <c r="F110" s="21" t="s">
        <v>129</v>
      </c>
      <c r="G110" s="22" t="s">
        <v>357</v>
      </c>
      <c r="H110" s="25">
        <v>1</v>
      </c>
      <c r="I110" s="33" t="str">
        <f t="shared" si="2"/>
        <v>#251 // Curazao</v>
      </c>
      <c r="J110" s="25">
        <v>1</v>
      </c>
      <c r="K110" s="31">
        <v>200</v>
      </c>
      <c r="M110" s="23" t="str">
        <f>CONCATENATE(CI_!$P$1,E110,", '",F110,"', '",G110,"' , ",H110," , '",I110,"' , ",J110,",",K110)</f>
        <v>EXECUTE [dbo].[SUB_CI_COUNTRY] 0, 0, 0, 251, 'Curazao', 'CURAZ' , 1 , '#251 // Curazao' , 1,200</v>
      </c>
      <c r="N110" s="11"/>
    </row>
    <row r="111" spans="1:14" s="10" customFormat="1" x14ac:dyDescent="0.25">
      <c r="A111" s="19"/>
      <c r="B111" s="20">
        <v>0</v>
      </c>
      <c r="C111" s="20">
        <v>0</v>
      </c>
      <c r="D111" s="20">
        <v>0</v>
      </c>
      <c r="E111" s="27">
        <v>252</v>
      </c>
      <c r="F111" s="21" t="s">
        <v>130</v>
      </c>
      <c r="G111" s="22" t="s">
        <v>358</v>
      </c>
      <c r="H111" s="25">
        <v>1</v>
      </c>
      <c r="I111" s="33" t="str">
        <f t="shared" si="2"/>
        <v>#252 // Isla de Saint Marteen</v>
      </c>
      <c r="J111" s="25">
        <v>1</v>
      </c>
      <c r="K111" s="31">
        <v>200</v>
      </c>
      <c r="M111" s="23" t="str">
        <f>CONCATENATE(CI_!$P$1,E111,", '",F111,"', '",G111,"' , ",H111," , '",I111,"' , ",J111,",",K111)</f>
        <v>EXECUTE [dbo].[SUB_CI_COUNTRY] 0, 0, 0, 252, 'Isla de Saint Marteen', 'ISTMA' , 1 , '#252 // Isla de Saint Marteen' , 1,200</v>
      </c>
      <c r="N111" s="11"/>
    </row>
    <row r="112" spans="1:14" s="10" customFormat="1" x14ac:dyDescent="0.25">
      <c r="A112" s="19"/>
      <c r="B112" s="20">
        <v>0</v>
      </c>
      <c r="C112" s="20">
        <v>0</v>
      </c>
      <c r="D112" s="20">
        <v>0</v>
      </c>
      <c r="E112" s="27">
        <v>253</v>
      </c>
      <c r="F112" s="21" t="s">
        <v>131</v>
      </c>
      <c r="G112" s="22" t="s">
        <v>359</v>
      </c>
      <c r="H112" s="25">
        <v>1</v>
      </c>
      <c r="I112" s="33" t="str">
        <f t="shared" si="2"/>
        <v>#253 // Bonaire, San Eustaquio, Saba</v>
      </c>
      <c r="J112" s="25">
        <v>1</v>
      </c>
      <c r="K112" s="31">
        <v>200</v>
      </c>
      <c r="M112" s="23" t="str">
        <f>CONCATENATE(CI_!$P$1,E112,", '",F112,"', '",G112,"' , ",H112," , '",I112,"' , ",J112,",",K112)</f>
        <v>EXECUTE [dbo].[SUB_CI_COUNTRY] 0, 0, 0, 253, 'Bonaire, San Eustaquio, Saba', 'BEUST' , 1 , '#253 // Bonaire, San Eustaquio, Saba' , 1,200</v>
      </c>
      <c r="N112" s="11"/>
    </row>
    <row r="113" spans="1:14" s="10" customFormat="1" x14ac:dyDescent="0.25">
      <c r="A113" s="19"/>
      <c r="B113" s="20">
        <v>0</v>
      </c>
      <c r="C113" s="20">
        <v>0</v>
      </c>
      <c r="D113" s="20">
        <v>0</v>
      </c>
      <c r="E113" s="27">
        <v>260</v>
      </c>
      <c r="F113" s="21" t="s">
        <v>132</v>
      </c>
      <c r="G113" s="22" t="s">
        <v>479</v>
      </c>
      <c r="H113" s="25">
        <v>1</v>
      </c>
      <c r="I113" s="33" t="str">
        <f t="shared" si="2"/>
        <v>#260 // Estados Unidos Mexicanos</v>
      </c>
      <c r="J113" s="25">
        <v>1</v>
      </c>
      <c r="K113" s="31">
        <v>200</v>
      </c>
      <c r="M113" s="23" t="str">
        <f>CONCATENATE(CI_!$P$1,E113,", '",F113,"', '",G113,"' , ",H113," , '",I113,"' , ",J113,",",K113)</f>
        <v>EXECUTE [dbo].[SUB_CI_COUNTRY] 0, 0, 0, 260, 'Estados Unidos Mexicanos', 'MEX' , 1 , '#260 // Estados Unidos Mexicanos' , 1,200</v>
      </c>
      <c r="N113" s="11"/>
    </row>
    <row r="114" spans="1:14" s="10" customFormat="1" x14ac:dyDescent="0.25">
      <c r="A114" s="19"/>
      <c r="B114" s="20">
        <v>0</v>
      </c>
      <c r="C114" s="20">
        <v>0</v>
      </c>
      <c r="D114" s="20">
        <v>0</v>
      </c>
      <c r="E114" s="27">
        <v>301</v>
      </c>
      <c r="F114" s="21" t="s">
        <v>133</v>
      </c>
      <c r="G114" s="22" t="s">
        <v>360</v>
      </c>
      <c r="H114" s="25">
        <v>1</v>
      </c>
      <c r="I114" s="33" t="str">
        <f t="shared" si="2"/>
        <v>#301 // Estado Islámico de Afganistán</v>
      </c>
      <c r="J114" s="25">
        <v>1</v>
      </c>
      <c r="K114" s="31">
        <v>300</v>
      </c>
      <c r="M114" s="23" t="str">
        <f>CONCATENATE(CI_!$P$1,E114,", '",F114,"', '",G114,"' , ",H114," , '",I114,"' , ",J114,",",K114)</f>
        <v>EXECUTE [dbo].[SUB_CI_COUNTRY] 0, 0, 0, 301, 'Estado Islámico de Afganistán', 'AFGAN' , 1 , '#301 // Estado Islámico de Afganistán' , 1,300</v>
      </c>
      <c r="N114" s="11"/>
    </row>
    <row r="115" spans="1:14" s="10" customFormat="1" x14ac:dyDescent="0.25">
      <c r="A115" s="19"/>
      <c r="B115" s="20">
        <v>0</v>
      </c>
      <c r="C115" s="20">
        <v>0</v>
      </c>
      <c r="D115" s="20">
        <v>0</v>
      </c>
      <c r="E115" s="27">
        <v>302</v>
      </c>
      <c r="F115" s="21" t="s">
        <v>134</v>
      </c>
      <c r="G115" s="22" t="s">
        <v>361</v>
      </c>
      <c r="H115" s="25">
        <v>1</v>
      </c>
      <c r="I115" s="33" t="str">
        <f t="shared" si="2"/>
        <v>#302 // Reino de Arabia Saudita</v>
      </c>
      <c r="J115" s="25">
        <v>1</v>
      </c>
      <c r="K115" s="31">
        <v>300</v>
      </c>
      <c r="M115" s="23" t="str">
        <f>CONCATENATE(CI_!$P$1,E115,", '",F115,"', '",G115,"' , ",H115," , '",I115,"' , ",J115,",",K115)</f>
        <v>EXECUTE [dbo].[SUB_CI_COUNTRY] 0, 0, 0, 302, 'Reino de Arabia Saudita', 'ASAUD' , 1 , '#302 // Reino de Arabia Saudita' , 1,300</v>
      </c>
      <c r="N115" s="11"/>
    </row>
    <row r="116" spans="1:14" s="10" customFormat="1" x14ac:dyDescent="0.25">
      <c r="A116" s="19"/>
      <c r="B116" s="20">
        <v>0</v>
      </c>
      <c r="C116" s="20">
        <v>0</v>
      </c>
      <c r="D116" s="20">
        <v>0</v>
      </c>
      <c r="E116" s="27">
        <v>303</v>
      </c>
      <c r="F116" s="21" t="s">
        <v>135</v>
      </c>
      <c r="G116" s="22" t="s">
        <v>362</v>
      </c>
      <c r="H116" s="25">
        <v>1</v>
      </c>
      <c r="I116" s="33" t="str">
        <f t="shared" si="2"/>
        <v>#303 // República de Armenia</v>
      </c>
      <c r="J116" s="25">
        <v>1</v>
      </c>
      <c r="K116" s="31">
        <v>300</v>
      </c>
      <c r="M116" s="23" t="str">
        <f>CONCATENATE(CI_!$P$1,E116,", '",F116,"', '",G116,"' , ",H116," , '",I116,"' , ",J116,",",K116)</f>
        <v>EXECUTE [dbo].[SUB_CI_COUNTRY] 0, 0, 0, 303, 'República de Armenia', 'ARMEN' , 1 , '#303 // República de Armenia' , 1,300</v>
      </c>
      <c r="N116" s="11"/>
    </row>
    <row r="117" spans="1:14" s="10" customFormat="1" x14ac:dyDescent="0.25">
      <c r="A117" s="19"/>
      <c r="B117" s="20">
        <v>0</v>
      </c>
      <c r="C117" s="20">
        <v>0</v>
      </c>
      <c r="D117" s="20">
        <v>0</v>
      </c>
      <c r="E117" s="27">
        <v>304</v>
      </c>
      <c r="F117" s="21" t="s">
        <v>136</v>
      </c>
      <c r="G117" s="22" t="s">
        <v>363</v>
      </c>
      <c r="H117" s="25">
        <v>1</v>
      </c>
      <c r="I117" s="33" t="str">
        <f t="shared" si="2"/>
        <v>#304 // República de Azerbaiyán</v>
      </c>
      <c r="J117" s="25">
        <v>1</v>
      </c>
      <c r="K117" s="31">
        <v>300</v>
      </c>
      <c r="M117" s="23" t="str">
        <f>CONCATENATE(CI_!$P$1,E117,", '",F117,"', '",G117,"' , ",H117," , '",I117,"' , ",J117,",",K117)</f>
        <v>EXECUTE [dbo].[SUB_CI_COUNTRY] 0, 0, 0, 304, 'República de Azerbaiyán', 'AZERB' , 1 , '#304 // República de Azerbaiyán' , 1,300</v>
      </c>
      <c r="N117" s="11"/>
    </row>
    <row r="118" spans="1:14" s="10" customFormat="1" x14ac:dyDescent="0.25">
      <c r="A118" s="19"/>
      <c r="B118" s="20">
        <v>0</v>
      </c>
      <c r="C118" s="20">
        <v>0</v>
      </c>
      <c r="D118" s="20">
        <v>0</v>
      </c>
      <c r="E118" s="27">
        <v>305</v>
      </c>
      <c r="F118" s="21" t="s">
        <v>137</v>
      </c>
      <c r="G118" s="22" t="s">
        <v>364</v>
      </c>
      <c r="H118" s="25">
        <v>1</v>
      </c>
      <c r="I118" s="33" t="str">
        <f t="shared" si="2"/>
        <v>#305 // Reino de Bahréin</v>
      </c>
      <c r="J118" s="25">
        <v>1</v>
      </c>
      <c r="K118" s="31">
        <v>300</v>
      </c>
      <c r="M118" s="23" t="str">
        <f>CONCATENATE(CI_!$P$1,E118,", '",F118,"', '",G118,"' , ",H118," , '",I118,"' , ",J118,",",K118)</f>
        <v>EXECUTE [dbo].[SUB_CI_COUNTRY] 0, 0, 0, 305, 'Reino de Bahréin', 'RBAHR' , 1 , '#305 // Reino de Bahréin' , 1,300</v>
      </c>
      <c r="N118" s="11"/>
    </row>
    <row r="119" spans="1:14" s="10" customFormat="1" x14ac:dyDescent="0.25">
      <c r="A119" s="19"/>
      <c r="B119" s="20">
        <v>0</v>
      </c>
      <c r="C119" s="20">
        <v>0</v>
      </c>
      <c r="D119" s="20">
        <v>0</v>
      </c>
      <c r="E119" s="27">
        <v>306</v>
      </c>
      <c r="F119" s="21" t="s">
        <v>138</v>
      </c>
      <c r="G119" s="22" t="s">
        <v>365</v>
      </c>
      <c r="H119" s="25">
        <v>1</v>
      </c>
      <c r="I119" s="33" t="str">
        <f t="shared" si="2"/>
        <v>#306 // República Popular de Bangladesh</v>
      </c>
      <c r="J119" s="25">
        <v>1</v>
      </c>
      <c r="K119" s="31">
        <v>300</v>
      </c>
      <c r="M119" s="23" t="str">
        <f>CONCATENATE(CI_!$P$1,E119,", '",F119,"', '",G119,"' , ",H119," , '",I119,"' , ",J119,",",K119)</f>
        <v>EXECUTE [dbo].[SUB_CI_COUNTRY] 0, 0, 0, 306, 'República Popular de Bangladesh', 'BANGL' , 1 , '#306 // República Popular de Bangladesh' , 1,300</v>
      </c>
      <c r="N119" s="11"/>
    </row>
    <row r="120" spans="1:14" s="10" customFormat="1" x14ac:dyDescent="0.25">
      <c r="A120" s="19"/>
      <c r="B120" s="20">
        <v>0</v>
      </c>
      <c r="C120" s="20">
        <v>0</v>
      </c>
      <c r="D120" s="20">
        <v>0</v>
      </c>
      <c r="E120" s="27">
        <v>307</v>
      </c>
      <c r="F120" s="21" t="s">
        <v>139</v>
      </c>
      <c r="G120" s="22" t="s">
        <v>366</v>
      </c>
      <c r="H120" s="25">
        <v>1</v>
      </c>
      <c r="I120" s="33" t="str">
        <f t="shared" si="2"/>
        <v>#307 // Reino de Bhutan</v>
      </c>
      <c r="J120" s="25">
        <v>1</v>
      </c>
      <c r="K120" s="31">
        <v>300</v>
      </c>
      <c r="M120" s="23" t="str">
        <f>CONCATENATE(CI_!$P$1,E120,", '",F120,"', '",G120,"' , ",H120," , '",I120,"' , ",J120,",",K120)</f>
        <v>EXECUTE [dbo].[SUB_CI_COUNTRY] 0, 0, 0, 307, 'Reino de Bhutan', 'BHUTA' , 1 , '#307 // Reino de Bhutan' , 1,300</v>
      </c>
      <c r="N120" s="11"/>
    </row>
    <row r="121" spans="1:14" s="10" customFormat="1" x14ac:dyDescent="0.25">
      <c r="A121" s="19"/>
      <c r="B121" s="20">
        <v>0</v>
      </c>
      <c r="C121" s="20">
        <v>0</v>
      </c>
      <c r="D121" s="20">
        <v>0</v>
      </c>
      <c r="E121" s="27">
        <v>308</v>
      </c>
      <c r="F121" s="21" t="s">
        <v>140</v>
      </c>
      <c r="G121" s="22" t="s">
        <v>367</v>
      </c>
      <c r="H121" s="25">
        <v>1</v>
      </c>
      <c r="I121" s="33" t="str">
        <f t="shared" si="2"/>
        <v>#308 // Estado de Brunei Darussalam</v>
      </c>
      <c r="J121" s="25">
        <v>1</v>
      </c>
      <c r="K121" s="31">
        <v>300</v>
      </c>
      <c r="M121" s="23" t="str">
        <f>CONCATENATE(CI_!$P$1,E121,", '",F121,"', '",G121,"' , ",H121," , '",I121,"' , ",J121,",",K121)</f>
        <v>EXECUTE [dbo].[SUB_CI_COUNTRY] 0, 0, 0, 308, 'Estado de Brunei Darussalam', 'BRUNE' , 1 , '#308 // Estado de Brunei Darussalam' , 1,300</v>
      </c>
      <c r="N121" s="11"/>
    </row>
    <row r="122" spans="1:14" s="10" customFormat="1" x14ac:dyDescent="0.25">
      <c r="A122" s="19"/>
      <c r="B122" s="20">
        <v>0</v>
      </c>
      <c r="C122" s="20">
        <v>0</v>
      </c>
      <c r="D122" s="20">
        <v>0</v>
      </c>
      <c r="E122" s="27">
        <v>309</v>
      </c>
      <c r="F122" s="21" t="s">
        <v>141</v>
      </c>
      <c r="G122" s="22" t="s">
        <v>368</v>
      </c>
      <c r="H122" s="25">
        <v>1</v>
      </c>
      <c r="I122" s="33" t="str">
        <f t="shared" si="2"/>
        <v>#309 // Reino de Camboya</v>
      </c>
      <c r="J122" s="25">
        <v>1</v>
      </c>
      <c r="K122" s="31">
        <v>300</v>
      </c>
      <c r="M122" s="23" t="str">
        <f>CONCATENATE(CI_!$P$1,E122,", '",F122,"', '",G122,"' , ",H122," , '",I122,"' , ",J122,",",K122)</f>
        <v>EXECUTE [dbo].[SUB_CI_COUNTRY] 0, 0, 0, 309, 'Reino de Camboya', 'CAMBO' , 1 , '#309 // Reino de Camboya' , 1,300</v>
      </c>
      <c r="N122" s="11"/>
    </row>
    <row r="123" spans="1:14" s="10" customFormat="1" x14ac:dyDescent="0.25">
      <c r="A123" s="19"/>
      <c r="B123" s="20">
        <v>0</v>
      </c>
      <c r="C123" s="20">
        <v>0</v>
      </c>
      <c r="D123" s="20">
        <v>0</v>
      </c>
      <c r="E123" s="27">
        <v>312</v>
      </c>
      <c r="F123" s="21" t="s">
        <v>142</v>
      </c>
      <c r="G123" s="22" t="s">
        <v>369</v>
      </c>
      <c r="H123" s="25">
        <v>1</v>
      </c>
      <c r="I123" s="33" t="str">
        <f t="shared" si="2"/>
        <v>#312 // República Popular democrática de Corea</v>
      </c>
      <c r="J123" s="25">
        <v>1</v>
      </c>
      <c r="K123" s="31">
        <v>300</v>
      </c>
      <c r="M123" s="23" t="str">
        <f>CONCATENATE(CI_!$P$1,E123,", '",F123,"', '",G123,"' , ",H123," , '",I123,"' , ",J123,",",K123)</f>
        <v>EXECUTE [dbo].[SUB_CI_COUNTRY] 0, 0, 0, 312, 'República Popular democrática de Corea', 'RCORE' , 1 , '#312 // República Popular democrática de Corea' , 1,300</v>
      </c>
      <c r="N123" s="11"/>
    </row>
    <row r="124" spans="1:14" s="10" customFormat="1" x14ac:dyDescent="0.25">
      <c r="A124" s="19"/>
      <c r="B124" s="20">
        <v>0</v>
      </c>
      <c r="C124" s="20">
        <v>0</v>
      </c>
      <c r="D124" s="20">
        <v>0</v>
      </c>
      <c r="E124" s="27">
        <v>313</v>
      </c>
      <c r="F124" s="21" t="s">
        <v>143</v>
      </c>
      <c r="G124" s="22" t="s">
        <v>370</v>
      </c>
      <c r="H124" s="25">
        <v>1</v>
      </c>
      <c r="I124" s="33" t="str">
        <f t="shared" si="2"/>
        <v>#313 // República de Corea</v>
      </c>
      <c r="J124" s="25">
        <v>1</v>
      </c>
      <c r="K124" s="31">
        <v>300</v>
      </c>
      <c r="M124" s="23" t="str">
        <f>CONCATENATE(CI_!$P$1,E124,", '",F124,"', '",G124,"' , ",H124," , '",I124,"' , ",J124,",",K124)</f>
        <v>EXECUTE [dbo].[SUB_CI_COUNTRY] 0, 0, 0, 313, 'República de Corea', 'COREA' , 1 , '#313 // República de Corea' , 1,300</v>
      </c>
      <c r="N124" s="11"/>
    </row>
    <row r="125" spans="1:14" s="10" customFormat="1" x14ac:dyDescent="0.25">
      <c r="A125" s="19"/>
      <c r="B125" s="20">
        <v>0</v>
      </c>
      <c r="C125" s="20">
        <v>0</v>
      </c>
      <c r="D125" s="20">
        <v>0</v>
      </c>
      <c r="E125" s="27">
        <v>315</v>
      </c>
      <c r="F125" s="21" t="s">
        <v>144</v>
      </c>
      <c r="G125" s="22" t="s">
        <v>371</v>
      </c>
      <c r="H125" s="25">
        <v>1</v>
      </c>
      <c r="I125" s="33" t="str">
        <f t="shared" si="2"/>
        <v>#315 // República Popular China</v>
      </c>
      <c r="J125" s="25">
        <v>1</v>
      </c>
      <c r="K125" s="31">
        <v>300</v>
      </c>
      <c r="M125" s="23" t="str">
        <f>CONCATENATE(CI_!$P$1,E125,", '",F125,"', '",G125,"' , ",H125," , '",I125,"' , ",J125,",",K125)</f>
        <v>EXECUTE [dbo].[SUB_CI_COUNTRY] 0, 0, 0, 315, 'República Popular China', 'CHINA' , 1 , '#315 // República Popular China' , 1,300</v>
      </c>
      <c r="N125" s="11"/>
    </row>
    <row r="126" spans="1:14" s="10" customFormat="1" x14ac:dyDescent="0.25">
      <c r="A126" s="19"/>
      <c r="B126" s="20">
        <v>0</v>
      </c>
      <c r="C126" s="20">
        <v>0</v>
      </c>
      <c r="D126" s="20">
        <v>0</v>
      </c>
      <c r="E126" s="27">
        <v>316</v>
      </c>
      <c r="F126" s="21" t="s">
        <v>145</v>
      </c>
      <c r="G126" s="22" t="s">
        <v>372</v>
      </c>
      <c r="H126" s="25">
        <v>1</v>
      </c>
      <c r="I126" s="33" t="str">
        <f t="shared" si="2"/>
        <v>#316 // Taiwán</v>
      </c>
      <c r="J126" s="25">
        <v>1</v>
      </c>
      <c r="K126" s="31">
        <v>300</v>
      </c>
      <c r="M126" s="23" t="str">
        <f>CONCATENATE(CI_!$P$1,E126,", '",F126,"', '",G126,"' , ",H126," , '",I126,"' , ",J126,",",K126)</f>
        <v>EXECUTE [dbo].[SUB_CI_COUNTRY] 0, 0, 0, 316, 'Taiwán', 'TAIWA' , 1 , '#316 // Taiwán' , 1,300</v>
      </c>
      <c r="N126" s="11"/>
    </row>
    <row r="127" spans="1:14" s="10" customFormat="1" x14ac:dyDescent="0.25">
      <c r="A127" s="19"/>
      <c r="B127" s="20">
        <v>0</v>
      </c>
      <c r="C127" s="20">
        <v>0</v>
      </c>
      <c r="D127" s="20">
        <v>0</v>
      </c>
      <c r="E127" s="27">
        <v>318</v>
      </c>
      <c r="F127" s="21" t="s">
        <v>146</v>
      </c>
      <c r="G127" s="22" t="s">
        <v>373</v>
      </c>
      <c r="H127" s="25">
        <v>1</v>
      </c>
      <c r="I127" s="33" t="str">
        <f t="shared" si="2"/>
        <v>#318 // República de Chipre</v>
      </c>
      <c r="J127" s="25">
        <v>1</v>
      </c>
      <c r="K127" s="31">
        <v>300</v>
      </c>
      <c r="M127" s="23" t="str">
        <f>CONCATENATE(CI_!$P$1,E127,", '",F127,"', '",G127,"' , ",H127," , '",I127,"' , ",J127,",",K127)</f>
        <v>EXECUTE [dbo].[SUB_CI_COUNTRY] 0, 0, 0, 318, 'República de Chipre', 'CHIPR' , 1 , '#318 // República de Chipre' , 1,300</v>
      </c>
      <c r="N127" s="11"/>
    </row>
    <row r="128" spans="1:14" s="10" customFormat="1" x14ac:dyDescent="0.25">
      <c r="A128" s="19"/>
      <c r="B128" s="20">
        <v>0</v>
      </c>
      <c r="C128" s="20">
        <v>0</v>
      </c>
      <c r="D128" s="20">
        <v>0</v>
      </c>
      <c r="E128" s="27">
        <v>321</v>
      </c>
      <c r="F128" s="21" t="s">
        <v>147</v>
      </c>
      <c r="G128" s="22" t="s">
        <v>374</v>
      </c>
      <c r="H128" s="25">
        <v>1</v>
      </c>
      <c r="I128" s="33" t="str">
        <f t="shared" si="2"/>
        <v>#321 // Emiratos Árabes Unidos</v>
      </c>
      <c r="J128" s="25">
        <v>1</v>
      </c>
      <c r="K128" s="31">
        <v>300</v>
      </c>
      <c r="M128" s="23" t="str">
        <f>CONCATENATE(CI_!$P$1,E128,", '",F128,"', '",G128,"' , ",H128," , '",I128,"' , ",J128,",",K128)</f>
        <v>EXECUTE [dbo].[SUB_CI_COUNTRY] 0, 0, 0, 321, 'Emiratos Árabes Unidos', 'EAUNI' , 1 , '#321 // Emiratos Árabes Unidos' , 1,300</v>
      </c>
      <c r="N128" s="11"/>
    </row>
    <row r="129" spans="1:14" s="10" customFormat="1" x14ac:dyDescent="0.25">
      <c r="A129" s="19"/>
      <c r="B129" s="20">
        <v>0</v>
      </c>
      <c r="C129" s="20">
        <v>0</v>
      </c>
      <c r="D129" s="20">
        <v>0</v>
      </c>
      <c r="E129" s="27">
        <v>322</v>
      </c>
      <c r="F129" s="21" t="s">
        <v>148</v>
      </c>
      <c r="G129" s="22" t="s">
        <v>375</v>
      </c>
      <c r="H129" s="25">
        <v>1</v>
      </c>
      <c r="I129" s="33" t="str">
        <f t="shared" si="2"/>
        <v>#322 // República de Filipinas</v>
      </c>
      <c r="J129" s="25">
        <v>1</v>
      </c>
      <c r="K129" s="31">
        <v>300</v>
      </c>
      <c r="M129" s="23" t="str">
        <f>CONCATENATE(CI_!$P$1,E129,", '",F129,"', '",G129,"' , ",H129," , '",I129,"' , ",J129,",",K129)</f>
        <v>EXECUTE [dbo].[SUB_CI_COUNTRY] 0, 0, 0, 322, 'República de Filipinas', 'FILIP' , 1 , '#322 // República de Filipinas' , 1,300</v>
      </c>
      <c r="N129" s="11"/>
    </row>
    <row r="130" spans="1:14" s="10" customFormat="1" x14ac:dyDescent="0.25">
      <c r="A130" s="19"/>
      <c r="B130" s="20">
        <v>0</v>
      </c>
      <c r="C130" s="20">
        <v>0</v>
      </c>
      <c r="D130" s="20">
        <v>0</v>
      </c>
      <c r="E130" s="27">
        <v>323</v>
      </c>
      <c r="F130" s="21" t="s">
        <v>149</v>
      </c>
      <c r="G130" s="22" t="s">
        <v>376</v>
      </c>
      <c r="H130" s="25">
        <v>1</v>
      </c>
      <c r="I130" s="33" t="str">
        <f t="shared" si="2"/>
        <v>#323 // República de Georgia</v>
      </c>
      <c r="J130" s="25">
        <v>1</v>
      </c>
      <c r="K130" s="31">
        <v>300</v>
      </c>
      <c r="M130" s="23" t="str">
        <f>CONCATENATE(CI_!$P$1,E130,", '",F130,"', '",G130,"' , ",H130," , '",I130,"' , ",J130,",",K130)</f>
        <v>EXECUTE [dbo].[SUB_CI_COUNTRY] 0, 0, 0, 323, 'República de Georgia', 'GEORG' , 1 , '#323 // República de Georgia' , 1,300</v>
      </c>
      <c r="N130" s="11"/>
    </row>
    <row r="131" spans="1:14" s="10" customFormat="1" x14ac:dyDescent="0.25">
      <c r="A131" s="19"/>
      <c r="B131" s="20">
        <v>0</v>
      </c>
      <c r="C131" s="20">
        <v>0</v>
      </c>
      <c r="D131" s="20">
        <v>0</v>
      </c>
      <c r="E131" s="27">
        <v>325</v>
      </c>
      <c r="F131" s="21" t="s">
        <v>150</v>
      </c>
      <c r="G131" s="22" t="s">
        <v>377</v>
      </c>
      <c r="H131" s="25">
        <v>1</v>
      </c>
      <c r="I131" s="33" t="str">
        <f t="shared" si="2"/>
        <v>#325 // República de la India</v>
      </c>
      <c r="J131" s="25">
        <v>1</v>
      </c>
      <c r="K131" s="31">
        <v>300</v>
      </c>
      <c r="M131" s="23" t="str">
        <f>CONCATENATE(CI_!$P$1,E131,", '",F131,"', '",G131,"' , ",H131," , '",I131,"' , ",J131,",",K131)</f>
        <v>EXECUTE [dbo].[SUB_CI_COUNTRY] 0, 0, 0, 325, 'República de la India', 'INDIA' , 1 , '#325 // República de la India' , 1,300</v>
      </c>
      <c r="N131" s="11"/>
    </row>
    <row r="132" spans="1:14" s="10" customFormat="1" x14ac:dyDescent="0.25">
      <c r="A132" s="19"/>
      <c r="B132" s="20">
        <v>0</v>
      </c>
      <c r="C132" s="20">
        <v>0</v>
      </c>
      <c r="D132" s="20">
        <v>0</v>
      </c>
      <c r="E132" s="27">
        <v>326</v>
      </c>
      <c r="F132" s="21" t="s">
        <v>151</v>
      </c>
      <c r="G132" s="22" t="s">
        <v>378</v>
      </c>
      <c r="H132" s="25">
        <v>1</v>
      </c>
      <c r="I132" s="33" t="str">
        <f t="shared" si="2"/>
        <v>#326 // República de Indonesia</v>
      </c>
      <c r="J132" s="25">
        <v>1</v>
      </c>
      <c r="K132" s="31">
        <v>300</v>
      </c>
      <c r="M132" s="23" t="str">
        <f>CONCATENATE(CI_!$P$1,E132,", '",F132,"', '",G132,"' , ",H132," , '",I132,"' , ",J132,",",K132)</f>
        <v>EXECUTE [dbo].[SUB_CI_COUNTRY] 0, 0, 0, 326, 'República de Indonesia', 'INDON' , 1 , '#326 // República de Indonesia' , 1,300</v>
      </c>
      <c r="N132" s="11"/>
    </row>
    <row r="133" spans="1:14" s="10" customFormat="1" x14ac:dyDescent="0.25">
      <c r="A133" s="19"/>
      <c r="B133" s="20">
        <v>0</v>
      </c>
      <c r="C133" s="20">
        <v>0</v>
      </c>
      <c r="D133" s="20">
        <v>0</v>
      </c>
      <c r="E133" s="27">
        <v>327</v>
      </c>
      <c r="F133" s="21" t="s">
        <v>152</v>
      </c>
      <c r="G133" s="22" t="s">
        <v>379</v>
      </c>
      <c r="H133" s="25">
        <v>1</v>
      </c>
      <c r="I133" s="33" t="str">
        <f t="shared" si="2"/>
        <v>#327 // República Islámica de Irán</v>
      </c>
      <c r="J133" s="25">
        <v>1</v>
      </c>
      <c r="K133" s="31">
        <v>300</v>
      </c>
      <c r="M133" s="23" t="str">
        <f>CONCATENATE(CI_!$P$1,E133,", '",F133,"', '",G133,"' , ",H133," , '",I133,"' , ",J133,",",K133)</f>
        <v>EXECUTE [dbo].[SUB_CI_COUNTRY] 0, 0, 0, 327, 'República Islámica de Irán', 'IRÁN' , 1 , '#327 // República Islámica de Irán' , 1,300</v>
      </c>
      <c r="N133" s="11"/>
    </row>
    <row r="134" spans="1:14" s="10" customFormat="1" x14ac:dyDescent="0.25">
      <c r="A134" s="19"/>
      <c r="B134" s="20">
        <v>0</v>
      </c>
      <c r="C134" s="20">
        <v>0</v>
      </c>
      <c r="D134" s="20">
        <v>0</v>
      </c>
      <c r="E134" s="27">
        <v>328</v>
      </c>
      <c r="F134" s="21" t="s">
        <v>153</v>
      </c>
      <c r="G134" s="22" t="s">
        <v>380</v>
      </c>
      <c r="H134" s="25">
        <v>1</v>
      </c>
      <c r="I134" s="33" t="str">
        <f t="shared" si="2"/>
        <v>#328 // República de Iraq</v>
      </c>
      <c r="J134" s="25">
        <v>1</v>
      </c>
      <c r="K134" s="31">
        <v>300</v>
      </c>
      <c r="M134" s="23" t="str">
        <f>CONCATENATE(CI_!$P$1,E134,", '",F134,"', '",G134,"' , ",H134," , '",I134,"' , ",J134,",",K134)</f>
        <v>EXECUTE [dbo].[SUB_CI_COUNTRY] 0, 0, 0, 328, 'República de Iraq', 'IRAQ' , 1 , '#328 // República de Iraq' , 1,300</v>
      </c>
      <c r="N134" s="11"/>
    </row>
    <row r="135" spans="1:14" s="10" customFormat="1" x14ac:dyDescent="0.25">
      <c r="A135" s="19"/>
      <c r="B135" s="20">
        <v>0</v>
      </c>
      <c r="C135" s="20">
        <v>0</v>
      </c>
      <c r="D135" s="20">
        <v>0</v>
      </c>
      <c r="E135" s="27">
        <v>329</v>
      </c>
      <c r="F135" s="21" t="s">
        <v>154</v>
      </c>
      <c r="G135" s="22" t="s">
        <v>381</v>
      </c>
      <c r="H135" s="25">
        <v>1</v>
      </c>
      <c r="I135" s="33" t="str">
        <f t="shared" si="2"/>
        <v>#329 // Estado de Israel</v>
      </c>
      <c r="J135" s="25">
        <v>1</v>
      </c>
      <c r="K135" s="31">
        <v>300</v>
      </c>
      <c r="M135" s="23" t="str">
        <f>CONCATENATE(CI_!$P$1,E135,", '",F135,"', '",G135,"' , ",H135," , '",I135,"' , ",J135,",",K135)</f>
        <v>EXECUTE [dbo].[SUB_CI_COUNTRY] 0, 0, 0, 329, 'Estado de Israel', 'ISRAE' , 1 , '#329 // Estado de Israel' , 1,300</v>
      </c>
      <c r="N135" s="11"/>
    </row>
    <row r="136" spans="1:14" s="10" customFormat="1" x14ac:dyDescent="0.25">
      <c r="A136" s="19"/>
      <c r="B136" s="20">
        <v>0</v>
      </c>
      <c r="C136" s="20">
        <v>0</v>
      </c>
      <c r="D136" s="20">
        <v>0</v>
      </c>
      <c r="E136" s="27">
        <v>330</v>
      </c>
      <c r="F136" s="21" t="s">
        <v>155</v>
      </c>
      <c r="G136" s="22" t="s">
        <v>382</v>
      </c>
      <c r="H136" s="25">
        <v>1</v>
      </c>
      <c r="I136" s="33" t="str">
        <f t="shared" si="2"/>
        <v>#330 // Estado de Japón</v>
      </c>
      <c r="J136" s="25">
        <v>1</v>
      </c>
      <c r="K136" s="31">
        <v>300</v>
      </c>
      <c r="M136" s="23" t="str">
        <f>CONCATENATE(CI_!$P$1,E136,", '",F136,"', '",G136,"' , ",H136," , '",I136,"' , ",J136,",",K136)</f>
        <v>EXECUTE [dbo].[SUB_CI_COUNTRY] 0, 0, 0, 330, 'Estado de Japón', 'JAPÓN' , 1 , '#330 // Estado de Japón' , 1,300</v>
      </c>
      <c r="N136" s="11"/>
    </row>
    <row r="137" spans="1:14" s="10" customFormat="1" x14ac:dyDescent="0.25">
      <c r="A137" s="19"/>
      <c r="B137" s="20">
        <v>0</v>
      </c>
      <c r="C137" s="20">
        <v>0</v>
      </c>
      <c r="D137" s="20">
        <v>0</v>
      </c>
      <c r="E137" s="27">
        <v>331</v>
      </c>
      <c r="F137" s="21" t="s">
        <v>156</v>
      </c>
      <c r="G137" s="22" t="s">
        <v>383</v>
      </c>
      <c r="H137" s="25">
        <v>1</v>
      </c>
      <c r="I137" s="33" t="str">
        <f t="shared" ref="I137:I200" si="3">CONCATENATE("#",E137," // ",F137)</f>
        <v>#331 // Reino Hachemí de Jordania</v>
      </c>
      <c r="J137" s="25">
        <v>1</v>
      </c>
      <c r="K137" s="31">
        <v>300</v>
      </c>
      <c r="M137" s="23" t="str">
        <f>CONCATENATE(CI_!$P$1,E137,", '",F137,"', '",G137,"' , ",H137," , '",I137,"' , ",J137,",",K137)</f>
        <v>EXECUTE [dbo].[SUB_CI_COUNTRY] 0, 0, 0, 331, 'Reino Hachemí de Jordania', 'JORDA' , 1 , '#331 // Reino Hachemí de Jordania' , 1,300</v>
      </c>
      <c r="N137" s="11"/>
    </row>
    <row r="138" spans="1:14" s="10" customFormat="1" x14ac:dyDescent="0.25">
      <c r="A138" s="19"/>
      <c r="B138" s="20">
        <v>0</v>
      </c>
      <c r="C138" s="20">
        <v>0</v>
      </c>
      <c r="D138" s="20">
        <v>0</v>
      </c>
      <c r="E138" s="27">
        <v>332</v>
      </c>
      <c r="F138" s="21" t="s">
        <v>157</v>
      </c>
      <c r="G138" s="22" t="s">
        <v>384</v>
      </c>
      <c r="H138" s="25">
        <v>1</v>
      </c>
      <c r="I138" s="33" t="str">
        <f t="shared" si="3"/>
        <v>#332 // República de Kazajstán</v>
      </c>
      <c r="J138" s="25">
        <v>1</v>
      </c>
      <c r="K138" s="31">
        <v>300</v>
      </c>
      <c r="M138" s="23" t="str">
        <f>CONCATENATE(CI_!$P$1,E138,", '",F138,"', '",G138,"' , ",H138," , '",I138,"' , ",J138,",",K138)</f>
        <v>EXECUTE [dbo].[SUB_CI_COUNTRY] 0, 0, 0, 332, 'República de Kazajstán', 'KAZAJ' , 1 , '#332 // República de Kazajstán' , 1,300</v>
      </c>
      <c r="N138" s="11"/>
    </row>
    <row r="139" spans="1:14" s="10" customFormat="1" x14ac:dyDescent="0.25">
      <c r="A139" s="19"/>
      <c r="B139" s="20">
        <v>0</v>
      </c>
      <c r="C139" s="20">
        <v>0</v>
      </c>
      <c r="D139" s="20">
        <v>0</v>
      </c>
      <c r="E139" s="27">
        <v>333</v>
      </c>
      <c r="F139" s="21" t="s">
        <v>158</v>
      </c>
      <c r="G139" s="22" t="s">
        <v>385</v>
      </c>
      <c r="H139" s="25">
        <v>1</v>
      </c>
      <c r="I139" s="33" t="str">
        <f t="shared" si="3"/>
        <v>#333 // República Kirguisa</v>
      </c>
      <c r="J139" s="25">
        <v>1</v>
      </c>
      <c r="K139" s="31">
        <v>300</v>
      </c>
      <c r="M139" s="23" t="str">
        <f>CONCATENATE(CI_!$P$1,E139,", '",F139,"', '",G139,"' , ",H139," , '",I139,"' , ",J139,",",K139)</f>
        <v>EXECUTE [dbo].[SUB_CI_COUNTRY] 0, 0, 0, 333, 'República Kirguisa', 'KIRGU' , 1 , '#333 // República Kirguisa' , 1,300</v>
      </c>
      <c r="N139" s="11"/>
    </row>
    <row r="140" spans="1:14" s="10" customFormat="1" x14ac:dyDescent="0.25">
      <c r="A140" s="19"/>
      <c r="B140" s="20">
        <v>0</v>
      </c>
      <c r="C140" s="20">
        <v>0</v>
      </c>
      <c r="D140" s="20">
        <v>0</v>
      </c>
      <c r="E140" s="27">
        <v>334</v>
      </c>
      <c r="F140" s="21" t="s">
        <v>159</v>
      </c>
      <c r="G140" s="22" t="s">
        <v>386</v>
      </c>
      <c r="H140" s="25">
        <v>1</v>
      </c>
      <c r="I140" s="33" t="str">
        <f t="shared" si="3"/>
        <v>#334 // Estado de Kuwait</v>
      </c>
      <c r="J140" s="25">
        <v>1</v>
      </c>
      <c r="K140" s="31">
        <v>300</v>
      </c>
      <c r="M140" s="23" t="str">
        <f>CONCATENATE(CI_!$P$1,E140,", '",F140,"', '",G140,"' , ",H140," , '",I140,"' , ",J140,",",K140)</f>
        <v>EXECUTE [dbo].[SUB_CI_COUNTRY] 0, 0, 0, 334, 'Estado de Kuwait', 'KUWAI' , 1 , '#334 // Estado de Kuwait' , 1,300</v>
      </c>
      <c r="N140" s="11"/>
    </row>
    <row r="141" spans="1:14" s="10" customFormat="1" x14ac:dyDescent="0.25">
      <c r="A141" s="19"/>
      <c r="B141" s="20">
        <v>0</v>
      </c>
      <c r="C141" s="20">
        <v>0</v>
      </c>
      <c r="D141" s="20">
        <v>0</v>
      </c>
      <c r="E141" s="27">
        <v>335</v>
      </c>
      <c r="F141" s="21" t="s">
        <v>160</v>
      </c>
      <c r="G141" s="22" t="s">
        <v>387</v>
      </c>
      <c r="H141" s="25">
        <v>1</v>
      </c>
      <c r="I141" s="33" t="str">
        <f t="shared" si="3"/>
        <v>#335 // República Libanesa</v>
      </c>
      <c r="J141" s="25">
        <v>1</v>
      </c>
      <c r="K141" s="31">
        <v>300</v>
      </c>
      <c r="M141" s="23" t="str">
        <f>CONCATENATE(CI_!$P$1,E141,", '",F141,"', '",G141,"' , ",H141," , '",I141,"' , ",J141,",",K141)</f>
        <v>EXECUTE [dbo].[SUB_CI_COUNTRY] 0, 0, 0, 335, 'República Libanesa', 'LIBAN' , 1 , '#335 // República Libanesa' , 1,300</v>
      </c>
      <c r="N141" s="11"/>
    </row>
    <row r="142" spans="1:14" s="10" customFormat="1" x14ac:dyDescent="0.25">
      <c r="A142" s="19"/>
      <c r="B142" s="20">
        <v>0</v>
      </c>
      <c r="C142" s="20">
        <v>0</v>
      </c>
      <c r="D142" s="20">
        <v>0</v>
      </c>
      <c r="E142" s="27">
        <v>337</v>
      </c>
      <c r="F142" s="21" t="s">
        <v>161</v>
      </c>
      <c r="G142" s="22" t="s">
        <v>388</v>
      </c>
      <c r="H142" s="25">
        <v>1</v>
      </c>
      <c r="I142" s="33" t="str">
        <f t="shared" si="3"/>
        <v>#337 // Malasia</v>
      </c>
      <c r="J142" s="25">
        <v>1</v>
      </c>
      <c r="K142" s="31">
        <v>300</v>
      </c>
      <c r="M142" s="23" t="str">
        <f>CONCATENATE(CI_!$P$1,E142,", '",F142,"', '",G142,"' , ",H142," , '",I142,"' , ",J142,",",K142)</f>
        <v>EXECUTE [dbo].[SUB_CI_COUNTRY] 0, 0, 0, 337, 'Malasia', 'MALAS' , 1 , '#337 // Malasia' , 1,300</v>
      </c>
      <c r="N142" s="11"/>
    </row>
    <row r="143" spans="1:14" s="10" customFormat="1" x14ac:dyDescent="0.25">
      <c r="A143" s="19"/>
      <c r="B143" s="20">
        <v>0</v>
      </c>
      <c r="C143" s="20">
        <v>0</v>
      </c>
      <c r="D143" s="20">
        <v>0</v>
      </c>
      <c r="E143" s="27">
        <v>338</v>
      </c>
      <c r="F143" s="21" t="s">
        <v>162</v>
      </c>
      <c r="G143" s="22" t="s">
        <v>389</v>
      </c>
      <c r="H143" s="25">
        <v>1</v>
      </c>
      <c r="I143" s="33" t="str">
        <f t="shared" si="3"/>
        <v>#338 // República de Maldivas</v>
      </c>
      <c r="J143" s="25">
        <v>1</v>
      </c>
      <c r="K143" s="31">
        <v>300</v>
      </c>
      <c r="M143" s="23" t="str">
        <f>CONCATENATE(CI_!$P$1,E143,", '",F143,"', '",G143,"' , ",H143," , '",I143,"' , ",J143,",",K143)</f>
        <v>EXECUTE [dbo].[SUB_CI_COUNTRY] 0, 0, 0, 338, 'República de Maldivas', 'MALDI' , 1 , '#338 // República de Maldivas' , 1,300</v>
      </c>
      <c r="N143" s="11"/>
    </row>
    <row r="144" spans="1:14" s="10" customFormat="1" x14ac:dyDescent="0.25">
      <c r="A144" s="19"/>
      <c r="B144" s="20">
        <v>0</v>
      </c>
      <c r="C144" s="20">
        <v>0</v>
      </c>
      <c r="D144" s="20">
        <v>0</v>
      </c>
      <c r="E144" s="27">
        <v>339</v>
      </c>
      <c r="F144" s="21" t="s">
        <v>163</v>
      </c>
      <c r="G144" s="22" t="s">
        <v>390</v>
      </c>
      <c r="H144" s="25">
        <v>1</v>
      </c>
      <c r="I144" s="33" t="str">
        <f t="shared" si="3"/>
        <v>#339 // Mongolia</v>
      </c>
      <c r="J144" s="25">
        <v>1</v>
      </c>
      <c r="K144" s="31">
        <v>300</v>
      </c>
      <c r="M144" s="23" t="str">
        <f>CONCATENATE(CI_!$P$1,E144,", '",F144,"', '",G144,"' , ",H144," , '",I144,"' , ",J144,",",K144)</f>
        <v>EXECUTE [dbo].[SUB_CI_COUNTRY] 0, 0, 0, 339, 'Mongolia', 'MONGOL' , 1 , '#339 // Mongolia' , 1,300</v>
      </c>
      <c r="N144" s="11"/>
    </row>
    <row r="145" spans="1:14" s="10" customFormat="1" x14ac:dyDescent="0.25">
      <c r="A145" s="19"/>
      <c r="B145" s="20">
        <v>0</v>
      </c>
      <c r="C145" s="20">
        <v>0</v>
      </c>
      <c r="D145" s="20">
        <v>0</v>
      </c>
      <c r="E145" s="27">
        <v>340</v>
      </c>
      <c r="F145" s="21" t="s">
        <v>164</v>
      </c>
      <c r="G145" s="22" t="s">
        <v>391</v>
      </c>
      <c r="H145" s="25">
        <v>1</v>
      </c>
      <c r="I145" s="33" t="str">
        <f t="shared" si="3"/>
        <v>#340 // Unión de Myanmar</v>
      </c>
      <c r="J145" s="25">
        <v>1</v>
      </c>
      <c r="K145" s="31">
        <v>300</v>
      </c>
      <c r="M145" s="23" t="str">
        <f>CONCATENATE(CI_!$P$1,E145,", '",F145,"', '",G145,"' , ",H145," , '",I145,"' , ",J145,",",K145)</f>
        <v>EXECUTE [dbo].[SUB_CI_COUNTRY] 0, 0, 0, 340, 'Unión de Myanmar', 'MYANM' , 1 , '#340 // Unión de Myanmar' , 1,300</v>
      </c>
      <c r="N145" s="11"/>
    </row>
    <row r="146" spans="1:14" s="10" customFormat="1" x14ac:dyDescent="0.25">
      <c r="A146" s="19"/>
      <c r="B146" s="20">
        <v>0</v>
      </c>
      <c r="C146" s="20">
        <v>0</v>
      </c>
      <c r="D146" s="20">
        <v>0</v>
      </c>
      <c r="E146" s="27">
        <v>341</v>
      </c>
      <c r="F146" s="21" t="s">
        <v>165</v>
      </c>
      <c r="G146" s="22" t="s">
        <v>392</v>
      </c>
      <c r="H146" s="25">
        <v>1</v>
      </c>
      <c r="I146" s="33" t="str">
        <f t="shared" si="3"/>
        <v>#341 // República Federal Democrática de Nepal</v>
      </c>
      <c r="J146" s="25">
        <v>1</v>
      </c>
      <c r="K146" s="31">
        <v>300</v>
      </c>
      <c r="M146" s="23" t="str">
        <f>CONCATENATE(CI_!$P$1,E146,", '",F146,"', '",G146,"' , ",H146," , '",I146,"' , ",J146,",",K146)</f>
        <v>EXECUTE [dbo].[SUB_CI_COUNTRY] 0, 0, 0, 341, 'República Federal Democrática de Nepal', 'NEPAL' , 1 , '#341 // República Federal Democrática de Nepal' , 1,300</v>
      </c>
      <c r="N146" s="11"/>
    </row>
    <row r="147" spans="1:14" s="10" customFormat="1" x14ac:dyDescent="0.25">
      <c r="A147" s="19"/>
      <c r="B147" s="20">
        <v>0</v>
      </c>
      <c r="C147" s="20">
        <v>0</v>
      </c>
      <c r="D147" s="20">
        <v>0</v>
      </c>
      <c r="E147" s="27">
        <v>342</v>
      </c>
      <c r="F147" s="21" t="s">
        <v>166</v>
      </c>
      <c r="G147" s="22" t="s">
        <v>393</v>
      </c>
      <c r="H147" s="25">
        <v>1</v>
      </c>
      <c r="I147" s="33" t="str">
        <f t="shared" si="3"/>
        <v>#342 // Sultanato de Omán</v>
      </c>
      <c r="J147" s="25">
        <v>1</v>
      </c>
      <c r="K147" s="31">
        <v>300</v>
      </c>
      <c r="M147" s="23" t="str">
        <f>CONCATENATE(CI_!$P$1,E147,", '",F147,"', '",G147,"' , ",H147," , '",I147,"' , ",J147,",",K147)</f>
        <v>EXECUTE [dbo].[SUB_CI_COUNTRY] 0, 0, 0, 342, 'Sultanato de Omán', 'OMÁN' , 1 , '#342 // Sultanato de Omán' , 1,300</v>
      </c>
      <c r="N147" s="11"/>
    </row>
    <row r="148" spans="1:14" s="10" customFormat="1" x14ac:dyDescent="0.25">
      <c r="A148" s="19"/>
      <c r="B148" s="20">
        <v>0</v>
      </c>
      <c r="C148" s="20">
        <v>0</v>
      </c>
      <c r="D148" s="20">
        <v>0</v>
      </c>
      <c r="E148" s="27">
        <v>343</v>
      </c>
      <c r="F148" s="21" t="s">
        <v>167</v>
      </c>
      <c r="G148" s="22" t="s">
        <v>394</v>
      </c>
      <c r="H148" s="25">
        <v>1</v>
      </c>
      <c r="I148" s="33" t="str">
        <f t="shared" si="3"/>
        <v>#343 // República Islámica de Pakistán</v>
      </c>
      <c r="J148" s="25">
        <v>1</v>
      </c>
      <c r="K148" s="31">
        <v>300</v>
      </c>
      <c r="M148" s="23" t="str">
        <f>CONCATENATE(CI_!$P$1,E148,", '",F148,"', '",G148,"' , ",H148," , '",I148,"' , ",J148,",",K148)</f>
        <v>EXECUTE [dbo].[SUB_CI_COUNTRY] 0, 0, 0, 343, 'República Islámica de Pakistán', 'PAKIS' , 1 , '#343 // República Islámica de Pakistán' , 1,300</v>
      </c>
      <c r="N148" s="11"/>
    </row>
    <row r="149" spans="1:14" s="10" customFormat="1" x14ac:dyDescent="0.25">
      <c r="A149" s="19"/>
      <c r="B149" s="20">
        <v>0</v>
      </c>
      <c r="C149" s="20">
        <v>0</v>
      </c>
      <c r="D149" s="20">
        <v>0</v>
      </c>
      <c r="E149" s="27">
        <v>344</v>
      </c>
      <c r="F149" s="21" t="s">
        <v>168</v>
      </c>
      <c r="G149" s="22" t="s">
        <v>395</v>
      </c>
      <c r="H149" s="25">
        <v>1</v>
      </c>
      <c r="I149" s="33" t="str">
        <f t="shared" si="3"/>
        <v>#344 // Estado de Qatar</v>
      </c>
      <c r="J149" s="25">
        <v>1</v>
      </c>
      <c r="K149" s="31">
        <v>300</v>
      </c>
      <c r="M149" s="23" t="str">
        <f>CONCATENATE(CI_!$P$1,E149,", '",F149,"', '",G149,"' , ",H149," , '",I149,"' , ",J149,",",K149)</f>
        <v>EXECUTE [dbo].[SUB_CI_COUNTRY] 0, 0, 0, 344, 'Estado de Qatar', 'QATAR' , 1 , '#344 // Estado de Qatar' , 1,300</v>
      </c>
      <c r="N149" s="11"/>
    </row>
    <row r="150" spans="1:14" s="10" customFormat="1" x14ac:dyDescent="0.25">
      <c r="A150" s="19"/>
      <c r="B150" s="20">
        <v>0</v>
      </c>
      <c r="C150" s="20">
        <v>0</v>
      </c>
      <c r="D150" s="20">
        <v>0</v>
      </c>
      <c r="E150" s="27">
        <v>345</v>
      </c>
      <c r="F150" s="21" t="s">
        <v>169</v>
      </c>
      <c r="G150" s="22" t="s">
        <v>396</v>
      </c>
      <c r="H150" s="25">
        <v>1</v>
      </c>
      <c r="I150" s="33" t="str">
        <f t="shared" si="3"/>
        <v>#345 // República Democrática Popular de Laos</v>
      </c>
      <c r="J150" s="25">
        <v>1</v>
      </c>
      <c r="K150" s="31">
        <v>300</v>
      </c>
      <c r="M150" s="23" t="str">
        <f>CONCATENATE(CI_!$P$1,E150,", '",F150,"', '",G150,"' , ",H150," , '",I150,"' , ",J150,",",K150)</f>
        <v>EXECUTE [dbo].[SUB_CI_COUNTRY] 0, 0, 0, 345, 'República Democrática Popular de Laos', 'LAOS' , 1 , '#345 // República Democrática Popular de Laos' , 1,300</v>
      </c>
      <c r="N150" s="11"/>
    </row>
    <row r="151" spans="1:14" s="10" customFormat="1" x14ac:dyDescent="0.25">
      <c r="A151" s="19"/>
      <c r="B151" s="20">
        <v>0</v>
      </c>
      <c r="C151" s="20">
        <v>0</v>
      </c>
      <c r="D151" s="20">
        <v>0</v>
      </c>
      <c r="E151" s="27">
        <v>346</v>
      </c>
      <c r="F151" s="21" t="s">
        <v>170</v>
      </c>
      <c r="G151" s="22" t="s">
        <v>397</v>
      </c>
      <c r="H151" s="25">
        <v>1</v>
      </c>
      <c r="I151" s="33" t="str">
        <f t="shared" si="3"/>
        <v>#346 // República de Singapur</v>
      </c>
      <c r="J151" s="25">
        <v>1</v>
      </c>
      <c r="K151" s="31">
        <v>300</v>
      </c>
      <c r="M151" s="23" t="str">
        <f>CONCATENATE(CI_!$P$1,E151,", '",F151,"', '",G151,"' , ",H151," , '",I151,"' , ",J151,",",K151)</f>
        <v>EXECUTE [dbo].[SUB_CI_COUNTRY] 0, 0, 0, 346, 'República de Singapur', 'SINGA' , 1 , '#346 // República de Singapur' , 1,300</v>
      </c>
      <c r="N151" s="11"/>
    </row>
    <row r="152" spans="1:14" s="10" customFormat="1" x14ac:dyDescent="0.25">
      <c r="A152" s="19"/>
      <c r="B152" s="20">
        <v>0</v>
      </c>
      <c r="C152" s="20">
        <v>0</v>
      </c>
      <c r="D152" s="20">
        <v>0</v>
      </c>
      <c r="E152" s="27">
        <v>347</v>
      </c>
      <c r="F152" s="21" t="s">
        <v>171</v>
      </c>
      <c r="G152" s="22" t="s">
        <v>398</v>
      </c>
      <c r="H152" s="25">
        <v>1</v>
      </c>
      <c r="I152" s="33" t="str">
        <f t="shared" si="3"/>
        <v>#347 // República árabe Siria</v>
      </c>
      <c r="J152" s="25">
        <v>1</v>
      </c>
      <c r="K152" s="31">
        <v>300</v>
      </c>
      <c r="M152" s="23" t="str">
        <f>CONCATENATE(CI_!$P$1,E152,", '",F152,"', '",G152,"' , ",H152," , '",I152,"' , ",J152,",",K152)</f>
        <v>EXECUTE [dbo].[SUB_CI_COUNTRY] 0, 0, 0, 347, 'República árabe Siria', 'SIRIA' , 1 , '#347 // República árabe Siria' , 1,300</v>
      </c>
      <c r="N152" s="11"/>
    </row>
    <row r="153" spans="1:14" s="10" customFormat="1" x14ac:dyDescent="0.25">
      <c r="A153" s="19"/>
      <c r="B153" s="20">
        <v>0</v>
      </c>
      <c r="C153" s="20">
        <v>0</v>
      </c>
      <c r="D153" s="20">
        <v>0</v>
      </c>
      <c r="E153" s="27">
        <v>348</v>
      </c>
      <c r="F153" s="21" t="s">
        <v>172</v>
      </c>
      <c r="G153" s="22" t="s">
        <v>399</v>
      </c>
      <c r="H153" s="25">
        <v>1</v>
      </c>
      <c r="I153" s="33" t="str">
        <f t="shared" si="3"/>
        <v>#348 // República Democrática Socialista Sri Lanka</v>
      </c>
      <c r="J153" s="25">
        <v>1</v>
      </c>
      <c r="K153" s="31">
        <v>300</v>
      </c>
      <c r="M153" s="23" t="str">
        <f>CONCATENATE(CI_!$P$1,E153,", '",F153,"', '",G153,"' , ",H153," , '",I153,"' , ",J153,",",K153)</f>
        <v>EXECUTE [dbo].[SUB_CI_COUNTRY] 0, 0, 0, 348, 'República Democrática Socialista Sri Lanka', 'SRILA' , 1 , '#348 // República Democrática Socialista Sri Lanka' , 1,300</v>
      </c>
      <c r="N153" s="11"/>
    </row>
    <row r="154" spans="1:14" s="10" customFormat="1" x14ac:dyDescent="0.25">
      <c r="A154" s="19"/>
      <c r="B154" s="20">
        <v>0</v>
      </c>
      <c r="C154" s="20">
        <v>0</v>
      </c>
      <c r="D154" s="20">
        <v>0</v>
      </c>
      <c r="E154" s="27">
        <v>349</v>
      </c>
      <c r="F154" s="21" t="s">
        <v>173</v>
      </c>
      <c r="G154" s="22" t="s">
        <v>400</v>
      </c>
      <c r="H154" s="25">
        <v>1</v>
      </c>
      <c r="I154" s="33" t="str">
        <f t="shared" si="3"/>
        <v>#349 // Reino de Tailandia</v>
      </c>
      <c r="J154" s="25">
        <v>1</v>
      </c>
      <c r="K154" s="31">
        <v>300</v>
      </c>
      <c r="M154" s="23" t="str">
        <f>CONCATENATE(CI_!$P$1,E154,", '",F154,"', '",G154,"' , ",H154," , '",I154,"' , ",J154,",",K154)</f>
        <v>EXECUTE [dbo].[SUB_CI_COUNTRY] 0, 0, 0, 349, 'Reino de Tailandia', 'TAILA' , 1 , '#349 // Reino de Tailandia' , 1,300</v>
      </c>
      <c r="N154" s="11"/>
    </row>
    <row r="155" spans="1:14" s="10" customFormat="1" x14ac:dyDescent="0.25">
      <c r="A155" s="19"/>
      <c r="B155" s="20">
        <v>0</v>
      </c>
      <c r="C155" s="20">
        <v>0</v>
      </c>
      <c r="D155" s="20">
        <v>0</v>
      </c>
      <c r="E155" s="27">
        <v>350</v>
      </c>
      <c r="F155" s="21" t="s">
        <v>174</v>
      </c>
      <c r="G155" s="22" t="s">
        <v>401</v>
      </c>
      <c r="H155" s="25">
        <v>1</v>
      </c>
      <c r="I155" s="33" t="str">
        <f t="shared" si="3"/>
        <v>#350 // República de Tayikistán</v>
      </c>
      <c r="J155" s="25">
        <v>1</v>
      </c>
      <c r="K155" s="31">
        <v>300</v>
      </c>
      <c r="M155" s="23" t="str">
        <f>CONCATENATE(CI_!$P$1,E155,", '",F155,"', '",G155,"' , ",H155," , '",I155,"' , ",J155,",",K155)</f>
        <v>EXECUTE [dbo].[SUB_CI_COUNTRY] 0, 0, 0, 350, 'República de Tayikistán', 'TAYIK' , 1 , '#350 // República de Tayikistán' , 1,300</v>
      </c>
      <c r="N155" s="11"/>
    </row>
    <row r="156" spans="1:14" s="10" customFormat="1" x14ac:dyDescent="0.25">
      <c r="A156" s="19"/>
      <c r="B156" s="20">
        <v>0</v>
      </c>
      <c r="C156" s="20">
        <v>0</v>
      </c>
      <c r="D156" s="20">
        <v>0</v>
      </c>
      <c r="E156" s="27">
        <v>351</v>
      </c>
      <c r="F156" s="21" t="s">
        <v>175</v>
      </c>
      <c r="G156" s="22" t="s">
        <v>402</v>
      </c>
      <c r="H156" s="25">
        <v>1</v>
      </c>
      <c r="I156" s="33" t="str">
        <f t="shared" si="3"/>
        <v>#351 // Turkmenistán</v>
      </c>
      <c r="J156" s="25">
        <v>1</v>
      </c>
      <c r="K156" s="31">
        <v>300</v>
      </c>
      <c r="M156" s="23" t="str">
        <f>CONCATENATE(CI_!$P$1,E156,", '",F156,"', '",G156,"' , ",H156," , '",I156,"' , ",J156,",",K156)</f>
        <v>EXECUTE [dbo].[SUB_CI_COUNTRY] 0, 0, 0, 351, 'Turkmenistán', 'TURKE' , 1 , '#351 // Turkmenistán' , 1,300</v>
      </c>
      <c r="N156" s="11"/>
    </row>
    <row r="157" spans="1:14" s="10" customFormat="1" x14ac:dyDescent="0.25">
      <c r="A157" s="19"/>
      <c r="B157" s="20">
        <v>0</v>
      </c>
      <c r="C157" s="20">
        <v>0</v>
      </c>
      <c r="D157" s="20">
        <v>0</v>
      </c>
      <c r="E157" s="27">
        <v>352</v>
      </c>
      <c r="F157" s="21" t="s">
        <v>176</v>
      </c>
      <c r="G157" s="22" t="s">
        <v>403</v>
      </c>
      <c r="H157" s="25">
        <v>1</v>
      </c>
      <c r="I157" s="33" t="str">
        <f t="shared" si="3"/>
        <v>#352 // República de Turquía</v>
      </c>
      <c r="J157" s="25">
        <v>1</v>
      </c>
      <c r="K157" s="31">
        <v>300</v>
      </c>
      <c r="M157" s="23" t="str">
        <f>CONCATENATE(CI_!$P$1,E157,", '",F157,"', '",G157,"' , ",H157," , '",I157,"' , ",J157,",",K157)</f>
        <v>EXECUTE [dbo].[SUB_CI_COUNTRY] 0, 0, 0, 352, 'República de Turquía', 'TURQU' , 1 , '#352 // República de Turquía' , 1,300</v>
      </c>
      <c r="N157" s="11"/>
    </row>
    <row r="158" spans="1:14" s="10" customFormat="1" x14ac:dyDescent="0.25">
      <c r="A158" s="19"/>
      <c r="B158" s="20">
        <v>0</v>
      </c>
      <c r="C158" s="20">
        <v>0</v>
      </c>
      <c r="D158" s="20">
        <v>0</v>
      </c>
      <c r="E158" s="27">
        <v>353</v>
      </c>
      <c r="F158" s="21" t="s">
        <v>177</v>
      </c>
      <c r="G158" s="22" t="s">
        <v>404</v>
      </c>
      <c r="H158" s="25">
        <v>1</v>
      </c>
      <c r="I158" s="33" t="str">
        <f t="shared" si="3"/>
        <v>#353 // República de Uzbekistán</v>
      </c>
      <c r="J158" s="25">
        <v>1</v>
      </c>
      <c r="K158" s="31">
        <v>300</v>
      </c>
      <c r="M158" s="23" t="str">
        <f>CONCATENATE(CI_!$P$1,E158,", '",F158,"', '",G158,"' , ",H158," , '",I158,"' , ",J158,",",K158)</f>
        <v>EXECUTE [dbo].[SUB_CI_COUNTRY] 0, 0, 0, 353, 'República de Uzbekistán', 'UZBEK' , 1 , '#353 // República de Uzbekistán' , 1,300</v>
      </c>
      <c r="N158" s="11"/>
    </row>
    <row r="159" spans="1:14" s="10" customFormat="1" x14ac:dyDescent="0.25">
      <c r="A159" s="19"/>
      <c r="B159" s="20">
        <v>0</v>
      </c>
      <c r="C159" s="20">
        <v>0</v>
      </c>
      <c r="D159" s="20">
        <v>0</v>
      </c>
      <c r="E159" s="27">
        <v>354</v>
      </c>
      <c r="F159" s="21" t="s">
        <v>178</v>
      </c>
      <c r="G159" s="22" t="s">
        <v>405</v>
      </c>
      <c r="H159" s="25">
        <v>1</v>
      </c>
      <c r="I159" s="33" t="str">
        <f t="shared" si="3"/>
        <v>#354 // República Socialista de Vietnam</v>
      </c>
      <c r="J159" s="25">
        <v>1</v>
      </c>
      <c r="K159" s="31">
        <v>300</v>
      </c>
      <c r="M159" s="23" t="str">
        <f>CONCATENATE(CI_!$P$1,E159,", '",F159,"', '",G159,"' , ",H159," , '",I159,"' , ",J159,",",K159)</f>
        <v>EXECUTE [dbo].[SUB_CI_COUNTRY] 0, 0, 0, 354, 'República Socialista de Vietnam', 'VIETN' , 1 , '#354 // República Socialista de Vietnam' , 1,300</v>
      </c>
      <c r="N159" s="11"/>
    </row>
    <row r="160" spans="1:14" s="10" customFormat="1" x14ac:dyDescent="0.25">
      <c r="A160" s="19"/>
      <c r="B160" s="20">
        <v>0</v>
      </c>
      <c r="C160" s="20">
        <v>0</v>
      </c>
      <c r="D160" s="20">
        <v>0</v>
      </c>
      <c r="E160" s="27">
        <v>355</v>
      </c>
      <c r="F160" s="21" t="s">
        <v>179</v>
      </c>
      <c r="G160" s="22" t="s">
        <v>406</v>
      </c>
      <c r="H160" s="25">
        <v>1</v>
      </c>
      <c r="I160" s="33" t="str">
        <f t="shared" si="3"/>
        <v>#355 // República de Yemen</v>
      </c>
      <c r="J160" s="25">
        <v>1</v>
      </c>
      <c r="K160" s="31">
        <v>300</v>
      </c>
      <c r="M160" s="23" t="str">
        <f>CONCATENATE(CI_!$P$1,E160,", '",F160,"', '",G160,"' , ",H160," , '",I160,"' , ",J160,",",K160)</f>
        <v>EXECUTE [dbo].[SUB_CI_COUNTRY] 0, 0, 0, 355, 'República de Yemen', 'YEMEN' , 1 , '#355 // República de Yemen' , 1,300</v>
      </c>
      <c r="N160" s="11"/>
    </row>
    <row r="161" spans="1:14" s="10" customFormat="1" x14ac:dyDescent="0.25">
      <c r="A161" s="19"/>
      <c r="B161" s="20">
        <v>0</v>
      </c>
      <c r="C161" s="20">
        <v>0</v>
      </c>
      <c r="D161" s="20">
        <v>0</v>
      </c>
      <c r="E161" s="27">
        <v>356</v>
      </c>
      <c r="F161" s="21" t="s">
        <v>180</v>
      </c>
      <c r="G161" s="22" t="s">
        <v>407</v>
      </c>
      <c r="H161" s="25">
        <v>1</v>
      </c>
      <c r="I161" s="33" t="str">
        <f t="shared" si="3"/>
        <v>#356 // República de Palaos</v>
      </c>
      <c r="J161" s="25">
        <v>1</v>
      </c>
      <c r="K161" s="31">
        <v>300</v>
      </c>
      <c r="M161" s="23" t="str">
        <f>CONCATENATE(CI_!$P$1,E161,", '",F161,"', '",G161,"' , ",H161," , '",I161,"' , ",J161,",",K161)</f>
        <v>EXECUTE [dbo].[SUB_CI_COUNTRY] 0, 0, 0, 356, 'República de Palaos', 'PALAO' , 1 , '#356 // República de Palaos' , 1,300</v>
      </c>
      <c r="N161" s="11"/>
    </row>
    <row r="162" spans="1:14" s="10" customFormat="1" x14ac:dyDescent="0.25">
      <c r="A162" s="19"/>
      <c r="B162" s="20">
        <v>0</v>
      </c>
      <c r="C162" s="20">
        <v>0</v>
      </c>
      <c r="D162" s="20">
        <v>0</v>
      </c>
      <c r="E162" s="27">
        <v>357</v>
      </c>
      <c r="F162" s="21" t="s">
        <v>181</v>
      </c>
      <c r="G162" s="22" t="s">
        <v>408</v>
      </c>
      <c r="H162" s="25">
        <v>1</v>
      </c>
      <c r="I162" s="33" t="str">
        <f t="shared" si="3"/>
        <v>#357 // República Democrática de Timor Oriental</v>
      </c>
      <c r="J162" s="25">
        <v>1</v>
      </c>
      <c r="K162" s="31">
        <v>300</v>
      </c>
      <c r="M162" s="23" t="str">
        <f>CONCATENATE(CI_!$P$1,E162,", '",F162,"', '",G162,"' , ",H162," , '",I162,"' , ",J162,",",K162)</f>
        <v>EXECUTE [dbo].[SUB_CI_COUNTRY] 0, 0, 0, 357, 'República Democrática de Timor Oriental', 'TIMOR' , 1 , '#357 // República Democrática de Timor Oriental' , 1,300</v>
      </c>
      <c r="N162" s="11"/>
    </row>
    <row r="163" spans="1:14" s="10" customFormat="1" x14ac:dyDescent="0.25">
      <c r="A163" s="19"/>
      <c r="B163" s="20">
        <v>0</v>
      </c>
      <c r="C163" s="20">
        <v>0</v>
      </c>
      <c r="D163" s="20">
        <v>0</v>
      </c>
      <c r="E163" s="27">
        <v>358</v>
      </c>
      <c r="F163" s="21" t="s">
        <v>182</v>
      </c>
      <c r="G163" s="22" t="s">
        <v>409</v>
      </c>
      <c r="H163" s="25">
        <v>1</v>
      </c>
      <c r="I163" s="33" t="str">
        <f t="shared" si="3"/>
        <v>#358 // Estado de Palestina</v>
      </c>
      <c r="J163" s="25">
        <v>1</v>
      </c>
      <c r="K163" s="31">
        <v>300</v>
      </c>
      <c r="M163" s="23" t="str">
        <f>CONCATENATE(CI_!$P$1,E163,", '",F163,"', '",G163,"' , ",H163," , '",I163,"' , ",J163,",",K163)</f>
        <v>EXECUTE [dbo].[SUB_CI_COUNTRY] 0, 0, 0, 358, 'Estado de Palestina', 'PALES' , 1 , '#358 // Estado de Palestina' , 1,300</v>
      </c>
      <c r="N163" s="11"/>
    </row>
    <row r="164" spans="1:14" s="10" customFormat="1" x14ac:dyDescent="0.25">
      <c r="A164" s="19"/>
      <c r="B164" s="20">
        <v>0</v>
      </c>
      <c r="C164" s="20">
        <v>0</v>
      </c>
      <c r="D164" s="20">
        <v>0</v>
      </c>
      <c r="E164" s="27">
        <v>401</v>
      </c>
      <c r="F164" s="21" t="s">
        <v>183</v>
      </c>
      <c r="G164" s="22" t="s">
        <v>410</v>
      </c>
      <c r="H164" s="25">
        <v>1</v>
      </c>
      <c r="I164" s="33" t="str">
        <f t="shared" si="3"/>
        <v>#401 // República de Albania</v>
      </c>
      <c r="J164" s="25">
        <v>1</v>
      </c>
      <c r="K164" s="31">
        <v>400</v>
      </c>
      <c r="M164" s="23" t="str">
        <f>CONCATENATE(CI_!$P$1,E164,", '",F164,"', '",G164,"' , ",H164," , '",I164,"' , ",J164,",",K164)</f>
        <v>EXECUTE [dbo].[SUB_CI_COUNTRY] 0, 0, 0, 401, 'República de Albania', 'ALBAN' , 1 , '#401 // República de Albania' , 1,400</v>
      </c>
      <c r="N164" s="11"/>
    </row>
    <row r="165" spans="1:14" s="10" customFormat="1" x14ac:dyDescent="0.25">
      <c r="A165" s="19"/>
      <c r="B165" s="20">
        <v>0</v>
      </c>
      <c r="C165" s="20">
        <v>0</v>
      </c>
      <c r="D165" s="20">
        <v>0</v>
      </c>
      <c r="E165" s="27">
        <v>402</v>
      </c>
      <c r="F165" s="21" t="s">
        <v>184</v>
      </c>
      <c r="G165" s="22" t="s">
        <v>411</v>
      </c>
      <c r="H165" s="25">
        <v>1</v>
      </c>
      <c r="I165" s="33" t="str">
        <f t="shared" si="3"/>
        <v>#402 // República Federal de Alemania</v>
      </c>
      <c r="J165" s="25">
        <v>1</v>
      </c>
      <c r="K165" s="31">
        <v>400</v>
      </c>
      <c r="M165" s="23" t="str">
        <f>CONCATENATE(CI_!$P$1,E165,", '",F165,"', '",G165,"' , ",H165," , '",I165,"' , ",J165,",",K165)</f>
        <v>EXECUTE [dbo].[SUB_CI_COUNTRY] 0, 0, 0, 402, 'República Federal de Alemania', 'ALEMA' , 1 , '#402 // República Federal de Alemania' , 1,400</v>
      </c>
      <c r="N165" s="11"/>
    </row>
    <row r="166" spans="1:14" s="10" customFormat="1" x14ac:dyDescent="0.25">
      <c r="A166" s="19"/>
      <c r="B166" s="20">
        <v>0</v>
      </c>
      <c r="C166" s="20">
        <v>0</v>
      </c>
      <c r="D166" s="20">
        <v>0</v>
      </c>
      <c r="E166" s="27">
        <v>403</v>
      </c>
      <c r="F166" s="21" t="s">
        <v>185</v>
      </c>
      <c r="G166" s="22" t="s">
        <v>412</v>
      </c>
      <c r="H166" s="25">
        <v>1</v>
      </c>
      <c r="I166" s="33" t="str">
        <f t="shared" si="3"/>
        <v>#403 // Principado de Andorra</v>
      </c>
      <c r="J166" s="25">
        <v>1</v>
      </c>
      <c r="K166" s="31">
        <v>400</v>
      </c>
      <c r="M166" s="23" t="str">
        <f>CONCATENATE(CI_!$P$1,E166,", '",F166,"', '",G166,"' , ",H166," , '",I166,"' , ",J166,",",K166)</f>
        <v>EXECUTE [dbo].[SUB_CI_COUNTRY] 0, 0, 0, 403, 'Principado de Andorra', 'ANDOR' , 1 , '#403 // Principado de Andorra' , 1,400</v>
      </c>
      <c r="N166" s="11"/>
    </row>
    <row r="167" spans="1:14" s="10" customFormat="1" x14ac:dyDescent="0.25">
      <c r="A167" s="19"/>
      <c r="B167" s="20">
        <v>0</v>
      </c>
      <c r="C167" s="20">
        <v>0</v>
      </c>
      <c r="D167" s="20">
        <v>0</v>
      </c>
      <c r="E167" s="27">
        <v>405</v>
      </c>
      <c r="F167" s="21" t="s">
        <v>186</v>
      </c>
      <c r="G167" s="22" t="s">
        <v>413</v>
      </c>
      <c r="H167" s="25">
        <v>1</v>
      </c>
      <c r="I167" s="33" t="str">
        <f t="shared" si="3"/>
        <v>#405 // República de Austria</v>
      </c>
      <c r="J167" s="25">
        <v>1</v>
      </c>
      <c r="K167" s="31">
        <v>400</v>
      </c>
      <c r="M167" s="23" t="str">
        <f>CONCATENATE(CI_!$P$1,E167,", '",F167,"', '",G167,"' , ",H167," , '",I167,"' , ",J167,",",K167)</f>
        <v>EXECUTE [dbo].[SUB_CI_COUNTRY] 0, 0, 0, 405, 'República de Austria', 'AUSTR' , 1 , '#405 // República de Austria' , 1,400</v>
      </c>
      <c r="N167" s="11"/>
    </row>
    <row r="168" spans="1:14" s="10" customFormat="1" x14ac:dyDescent="0.25">
      <c r="A168" s="19"/>
      <c r="B168" s="20">
        <v>0</v>
      </c>
      <c r="C168" s="20">
        <v>0</v>
      </c>
      <c r="D168" s="20">
        <v>0</v>
      </c>
      <c r="E168" s="27">
        <v>407</v>
      </c>
      <c r="F168" s="21" t="s">
        <v>187</v>
      </c>
      <c r="G168" s="22" t="s">
        <v>414</v>
      </c>
      <c r="H168" s="25">
        <v>1</v>
      </c>
      <c r="I168" s="33" t="str">
        <f t="shared" si="3"/>
        <v>#407 // República de Bielorrusia</v>
      </c>
      <c r="J168" s="25">
        <v>1</v>
      </c>
      <c r="K168" s="31">
        <v>400</v>
      </c>
      <c r="M168" s="23" t="str">
        <f>CONCATENATE(CI_!$P$1,E168,", '",F168,"', '",G168,"' , ",H168," , '",I168,"' , ",J168,",",K168)</f>
        <v>EXECUTE [dbo].[SUB_CI_COUNTRY] 0, 0, 0, 407, 'República de Bielorrusia', 'BIELO' , 1 , '#407 // República de Bielorrusia' , 1,400</v>
      </c>
      <c r="N168" s="11"/>
    </row>
    <row r="169" spans="1:14" s="10" customFormat="1" x14ac:dyDescent="0.25">
      <c r="A169" s="19"/>
      <c r="B169" s="20">
        <v>0</v>
      </c>
      <c r="C169" s="20">
        <v>0</v>
      </c>
      <c r="D169" s="20">
        <v>0</v>
      </c>
      <c r="E169" s="27">
        <v>408</v>
      </c>
      <c r="F169" s="21" t="s">
        <v>188</v>
      </c>
      <c r="G169" s="22" t="s">
        <v>415</v>
      </c>
      <c r="H169" s="25">
        <v>1</v>
      </c>
      <c r="I169" s="33" t="str">
        <f t="shared" si="3"/>
        <v>#408 // Reino de Bélgica</v>
      </c>
      <c r="J169" s="25">
        <v>1</v>
      </c>
      <c r="K169" s="31">
        <v>400</v>
      </c>
      <c r="M169" s="23" t="str">
        <f>CONCATENATE(CI_!$P$1,E169,", '",F169,"', '",G169,"' , ",H169," , '",I169,"' , ",J169,",",K169)</f>
        <v>EXECUTE [dbo].[SUB_CI_COUNTRY] 0, 0, 0, 408, 'Reino de Bélgica', 'BELGI' , 1 , '#408 // Reino de Bélgica' , 1,400</v>
      </c>
      <c r="N169" s="11"/>
    </row>
    <row r="170" spans="1:14" s="10" customFormat="1" x14ac:dyDescent="0.25">
      <c r="A170" s="19"/>
      <c r="B170" s="20">
        <v>0</v>
      </c>
      <c r="C170" s="20">
        <v>0</v>
      </c>
      <c r="D170" s="20">
        <v>0</v>
      </c>
      <c r="E170" s="27">
        <v>409</v>
      </c>
      <c r="F170" s="21" t="s">
        <v>189</v>
      </c>
      <c r="G170" s="22" t="s">
        <v>416</v>
      </c>
      <c r="H170" s="25">
        <v>1</v>
      </c>
      <c r="I170" s="33" t="str">
        <f t="shared" si="3"/>
        <v>#409 // Bosnia y Herzegovina</v>
      </c>
      <c r="J170" s="25">
        <v>1</v>
      </c>
      <c r="K170" s="31">
        <v>400</v>
      </c>
      <c r="M170" s="23" t="str">
        <f>CONCATENATE(CI_!$P$1,E170,", '",F170,"', '",G170,"' , ",H170," , '",I170,"' , ",J170,",",K170)</f>
        <v>EXECUTE [dbo].[SUB_CI_COUNTRY] 0, 0, 0, 409, 'Bosnia y Herzegovina', 'BSNHE' , 1 , '#409 // Bosnia y Herzegovina' , 1,400</v>
      </c>
      <c r="N170" s="11"/>
    </row>
    <row r="171" spans="1:14" s="10" customFormat="1" x14ac:dyDescent="0.25">
      <c r="A171" s="19"/>
      <c r="B171" s="20">
        <v>0</v>
      </c>
      <c r="C171" s="20">
        <v>0</v>
      </c>
      <c r="D171" s="20">
        <v>0</v>
      </c>
      <c r="E171" s="27">
        <v>410</v>
      </c>
      <c r="F171" s="21" t="s">
        <v>190</v>
      </c>
      <c r="G171" s="22" t="s">
        <v>417</v>
      </c>
      <c r="H171" s="25">
        <v>1</v>
      </c>
      <c r="I171" s="33" t="str">
        <f t="shared" si="3"/>
        <v>#410 // República de Bulgaria</v>
      </c>
      <c r="J171" s="25">
        <v>1</v>
      </c>
      <c r="K171" s="31">
        <v>400</v>
      </c>
      <c r="M171" s="23" t="str">
        <f>CONCATENATE(CI_!$P$1,E171,", '",F171,"', '",G171,"' , ",H171," , '",I171,"' , ",J171,",",K171)</f>
        <v>EXECUTE [dbo].[SUB_CI_COUNTRY] 0, 0, 0, 410, 'República de Bulgaria', 'BULGA' , 1 , '#410 // República de Bulgaria' , 1,400</v>
      </c>
      <c r="N171" s="11"/>
    </row>
    <row r="172" spans="1:14" s="10" customFormat="1" x14ac:dyDescent="0.25">
      <c r="A172" s="19"/>
      <c r="B172" s="20">
        <v>0</v>
      </c>
      <c r="C172" s="20">
        <v>0</v>
      </c>
      <c r="D172" s="20">
        <v>0</v>
      </c>
      <c r="E172" s="27">
        <v>411</v>
      </c>
      <c r="F172" s="21" t="s">
        <v>191</v>
      </c>
      <c r="G172" s="22" t="s">
        <v>418</v>
      </c>
      <c r="H172" s="25">
        <v>1</v>
      </c>
      <c r="I172" s="33" t="str">
        <f t="shared" si="3"/>
        <v>#411 // República de Croacia</v>
      </c>
      <c r="J172" s="25">
        <v>1</v>
      </c>
      <c r="K172" s="31">
        <v>400</v>
      </c>
      <c r="M172" s="23" t="str">
        <f>CONCATENATE(CI_!$P$1,E172,", '",F172,"', '",G172,"' , ",H172," , '",I172,"' , ",J172,",",K172)</f>
        <v>EXECUTE [dbo].[SUB_CI_COUNTRY] 0, 0, 0, 411, 'República de Croacia', 'CROAC' , 1 , '#411 // República de Croacia' , 1,400</v>
      </c>
      <c r="N172" s="11"/>
    </row>
    <row r="173" spans="1:14" s="10" customFormat="1" x14ac:dyDescent="0.25">
      <c r="A173" s="19"/>
      <c r="B173" s="20">
        <v>0</v>
      </c>
      <c r="C173" s="20">
        <v>0</v>
      </c>
      <c r="D173" s="20">
        <v>0</v>
      </c>
      <c r="E173" s="27">
        <v>412</v>
      </c>
      <c r="F173" s="21" t="s">
        <v>192</v>
      </c>
      <c r="G173" s="22" t="s">
        <v>419</v>
      </c>
      <c r="H173" s="25">
        <v>1</v>
      </c>
      <c r="I173" s="33" t="str">
        <f t="shared" si="3"/>
        <v>#412 // Reino de Dinamarca</v>
      </c>
      <c r="J173" s="25">
        <v>1</v>
      </c>
      <c r="K173" s="31">
        <v>400</v>
      </c>
      <c r="M173" s="23" t="str">
        <f>CONCATENATE(CI_!$P$1,E173,", '",F173,"', '",G173,"' , ",H173," , '",I173,"' , ",J173,",",K173)</f>
        <v>EXECUTE [dbo].[SUB_CI_COUNTRY] 0, 0, 0, 412, 'Reino de Dinamarca', 'DINAM' , 1 , '#412 // Reino de Dinamarca' , 1,400</v>
      </c>
      <c r="N173" s="11"/>
    </row>
    <row r="174" spans="1:14" x14ac:dyDescent="0.25">
      <c r="B174" s="20">
        <v>0</v>
      </c>
      <c r="C174" s="20">
        <v>0</v>
      </c>
      <c r="D174" s="20">
        <v>0</v>
      </c>
      <c r="E174" s="15">
        <v>413</v>
      </c>
      <c r="F174" s="9" t="s">
        <v>193</v>
      </c>
      <c r="G174" s="9" t="s">
        <v>420</v>
      </c>
      <c r="H174" s="25">
        <v>1</v>
      </c>
      <c r="I174" s="33" t="str">
        <f t="shared" si="3"/>
        <v>#413 // República Eslovaca</v>
      </c>
      <c r="J174" s="25">
        <v>1</v>
      </c>
      <c r="K174" s="31">
        <v>400</v>
      </c>
      <c r="M174" s="23" t="str">
        <f>CONCATENATE(CI_!$P$1,E174,", '",F174,"', '",G174,"' , ",H174," , '",I174,"' , ",J174,",",K174)</f>
        <v>EXECUTE [dbo].[SUB_CI_COUNTRY] 0, 0, 0, 413, 'República Eslovaca', 'SLVAC' , 1 , '#413 // República Eslovaca' , 1,400</v>
      </c>
    </row>
    <row r="175" spans="1:14" x14ac:dyDescent="0.25">
      <c r="B175" s="20">
        <v>0</v>
      </c>
      <c r="C175" s="20">
        <v>0</v>
      </c>
      <c r="D175" s="20">
        <v>0</v>
      </c>
      <c r="E175" s="15">
        <v>414</v>
      </c>
      <c r="F175" s="9" t="s">
        <v>194</v>
      </c>
      <c r="G175" s="9" t="s">
        <v>421</v>
      </c>
      <c r="H175" s="25">
        <v>1</v>
      </c>
      <c r="I175" s="33" t="str">
        <f t="shared" si="3"/>
        <v>#414 // República de Eslovenia</v>
      </c>
      <c r="J175" s="25">
        <v>1</v>
      </c>
      <c r="K175" s="31">
        <v>400</v>
      </c>
      <c r="M175" s="23" t="str">
        <f>CONCATENATE(CI_!$P$1,E175,", '",F175,"', '",G175,"' , ",H175," , '",I175,"' , ",J175,",",K175)</f>
        <v>EXECUTE [dbo].[SUB_CI_COUNTRY] 0, 0, 0, 414, 'República de Eslovenia', 'SLOVN' , 1 , '#414 // República de Eslovenia' , 1,400</v>
      </c>
    </row>
    <row r="176" spans="1:14" x14ac:dyDescent="0.25">
      <c r="B176" s="20">
        <v>0</v>
      </c>
      <c r="C176" s="20">
        <v>0</v>
      </c>
      <c r="D176" s="20">
        <v>0</v>
      </c>
      <c r="E176" s="15">
        <v>415</v>
      </c>
      <c r="F176" s="9" t="s">
        <v>195</v>
      </c>
      <c r="G176" s="9" t="s">
        <v>422</v>
      </c>
      <c r="H176" s="25">
        <v>1</v>
      </c>
      <c r="I176" s="33" t="str">
        <f t="shared" si="3"/>
        <v>#415 // Reino de España</v>
      </c>
      <c r="J176" s="25">
        <v>1</v>
      </c>
      <c r="K176" s="31">
        <v>400</v>
      </c>
      <c r="M176" s="23" t="str">
        <f>CONCATENATE(CI_!$P$1,E176,", '",F176,"', '",G176,"' , ",H176," , '",I176,"' , ",J176,",",K176)</f>
        <v>EXECUTE [dbo].[SUB_CI_COUNTRY] 0, 0, 0, 415, 'Reino de España', 'ESPAÑ' , 1 , '#415 // Reino de España' , 1,400</v>
      </c>
    </row>
    <row r="177" spans="2:13" x14ac:dyDescent="0.25">
      <c r="B177" s="20">
        <v>0</v>
      </c>
      <c r="C177" s="20">
        <v>0</v>
      </c>
      <c r="D177" s="20">
        <v>0</v>
      </c>
      <c r="E177" s="15">
        <v>416</v>
      </c>
      <c r="F177" s="9" t="s">
        <v>196</v>
      </c>
      <c r="G177" s="9" t="s">
        <v>423</v>
      </c>
      <c r="H177" s="25">
        <v>1</v>
      </c>
      <c r="I177" s="33" t="str">
        <f t="shared" si="3"/>
        <v>#416 // República de Estonia</v>
      </c>
      <c r="J177" s="25">
        <v>1</v>
      </c>
      <c r="K177" s="31">
        <v>400</v>
      </c>
      <c r="M177" s="23" t="str">
        <f>CONCATENATE(CI_!$P$1,E177,", '",F177,"', '",G177,"' , ",H177," , '",I177,"' , ",J177,",",K177)</f>
        <v>EXECUTE [dbo].[SUB_CI_COUNTRY] 0, 0, 0, 416, 'República de Estonia', 'ESTON' , 1 , '#416 // República de Estonia' , 1,400</v>
      </c>
    </row>
    <row r="178" spans="2:13" x14ac:dyDescent="0.25">
      <c r="B178" s="20">
        <v>0</v>
      </c>
      <c r="C178" s="20">
        <v>0</v>
      </c>
      <c r="D178" s="20">
        <v>0</v>
      </c>
      <c r="E178" s="15">
        <v>417</v>
      </c>
      <c r="F178" s="9" t="s">
        <v>197</v>
      </c>
      <c r="G178" s="9" t="s">
        <v>424</v>
      </c>
      <c r="H178" s="25">
        <v>1</v>
      </c>
      <c r="I178" s="33" t="str">
        <f t="shared" si="3"/>
        <v>#417 // Islas Feroe</v>
      </c>
      <c r="J178" s="25">
        <v>1</v>
      </c>
      <c r="K178" s="31">
        <v>400</v>
      </c>
      <c r="M178" s="23" t="str">
        <f>CONCATENATE(CI_!$P$1,E178,", '",F178,"', '",G178,"' , ",H178," , '",I178,"' , ",J178,",",K178)</f>
        <v>EXECUTE [dbo].[SUB_CI_COUNTRY] 0, 0, 0, 417, 'Islas Feroe', 'FEROE' , 1 , '#417 // Islas Feroe' , 1,400</v>
      </c>
    </row>
    <row r="179" spans="2:13" x14ac:dyDescent="0.25">
      <c r="B179" s="20">
        <v>0</v>
      </c>
      <c r="C179" s="20">
        <v>0</v>
      </c>
      <c r="D179" s="20">
        <v>0</v>
      </c>
      <c r="E179" s="15">
        <v>418</v>
      </c>
      <c r="F179" s="9" t="s">
        <v>198</v>
      </c>
      <c r="G179" s="9" t="s">
        <v>425</v>
      </c>
      <c r="H179" s="25">
        <v>1</v>
      </c>
      <c r="I179" s="33" t="str">
        <f t="shared" si="3"/>
        <v>#418 // República de Finlandia</v>
      </c>
      <c r="J179" s="25">
        <v>1</v>
      </c>
      <c r="K179" s="31">
        <v>400</v>
      </c>
      <c r="M179" s="23" t="str">
        <f>CONCATENATE(CI_!$P$1,E179,", '",F179,"', '",G179,"' , ",H179," , '",I179,"' , ",J179,",",K179)</f>
        <v>EXECUTE [dbo].[SUB_CI_COUNTRY] 0, 0, 0, 418, 'República de Finlandia', 'FINLA' , 1 , '#418 // República de Finlandia' , 1,400</v>
      </c>
    </row>
    <row r="180" spans="2:13" x14ac:dyDescent="0.25">
      <c r="B180" s="20">
        <v>0</v>
      </c>
      <c r="C180" s="20">
        <v>0</v>
      </c>
      <c r="D180" s="20">
        <v>0</v>
      </c>
      <c r="E180" s="15">
        <v>419</v>
      </c>
      <c r="F180" s="9" t="s">
        <v>199</v>
      </c>
      <c r="G180" s="9" t="s">
        <v>426</v>
      </c>
      <c r="H180" s="25">
        <v>1</v>
      </c>
      <c r="I180" s="33" t="str">
        <f t="shared" si="3"/>
        <v>#419 // República Francesa</v>
      </c>
      <c r="J180" s="25">
        <v>1</v>
      </c>
      <c r="K180" s="31">
        <v>400</v>
      </c>
      <c r="M180" s="23" t="str">
        <f>CONCATENATE(CI_!$P$1,E180,", '",F180,"', '",G180,"' , ",H180," , '",I180,"' , ",J180,",",K180)</f>
        <v>EXECUTE [dbo].[SUB_CI_COUNTRY] 0, 0, 0, 419, 'República Francesa', 'FRANC' , 1 , '#419 // República Francesa' , 1,400</v>
      </c>
    </row>
    <row r="181" spans="2:13" x14ac:dyDescent="0.25">
      <c r="B181" s="20">
        <v>0</v>
      </c>
      <c r="C181" s="20">
        <v>0</v>
      </c>
      <c r="D181" s="20">
        <v>0</v>
      </c>
      <c r="E181" s="15">
        <v>420</v>
      </c>
      <c r="F181" s="9" t="s">
        <v>200</v>
      </c>
      <c r="G181" s="9" t="s">
        <v>427</v>
      </c>
      <c r="H181" s="25">
        <v>1</v>
      </c>
      <c r="I181" s="33" t="str">
        <f t="shared" si="3"/>
        <v>#420 // Gibraltar</v>
      </c>
      <c r="J181" s="25">
        <v>1</v>
      </c>
      <c r="K181" s="31">
        <v>400</v>
      </c>
      <c r="M181" s="23" t="str">
        <f>CONCATENATE(CI_!$P$1,E181,", '",F181,"', '",G181,"' , ",H181," , '",I181,"' , ",J181,",",K181)</f>
        <v>EXECUTE [dbo].[SUB_CI_COUNTRY] 0, 0, 0, 420, 'Gibraltar', 'GIBRA' , 1 , '#420 // Gibraltar' , 1,400</v>
      </c>
    </row>
    <row r="182" spans="2:13" x14ac:dyDescent="0.25">
      <c r="B182" s="20">
        <v>0</v>
      </c>
      <c r="C182" s="20">
        <v>0</v>
      </c>
      <c r="D182" s="20">
        <v>0</v>
      </c>
      <c r="E182" s="15">
        <v>421</v>
      </c>
      <c r="F182" s="9" t="s">
        <v>201</v>
      </c>
      <c r="G182" s="9" t="s">
        <v>428</v>
      </c>
      <c r="H182" s="25">
        <v>1</v>
      </c>
      <c r="I182" s="33" t="str">
        <f t="shared" si="3"/>
        <v>#421 // República Helénica</v>
      </c>
      <c r="J182" s="25">
        <v>1</v>
      </c>
      <c r="K182" s="31">
        <v>400</v>
      </c>
      <c r="M182" s="23" t="str">
        <f>CONCATENATE(CI_!$P$1,E182,", '",F182,"', '",G182,"' , ",H182," , '",I182,"' , ",J182,",",K182)</f>
        <v>EXECUTE [dbo].[SUB_CI_COUNTRY] 0, 0, 0, 421, 'República Helénica', 'HELEN' , 1 , '#421 // República Helénica' , 1,400</v>
      </c>
    </row>
    <row r="183" spans="2:13" x14ac:dyDescent="0.25">
      <c r="B183" s="20">
        <v>0</v>
      </c>
      <c r="C183" s="20">
        <v>0</v>
      </c>
      <c r="D183" s="20">
        <v>0</v>
      </c>
      <c r="E183" s="15">
        <v>422</v>
      </c>
      <c r="F183" s="9" t="s">
        <v>202</v>
      </c>
      <c r="G183" s="9" t="s">
        <v>429</v>
      </c>
      <c r="H183" s="25">
        <v>1</v>
      </c>
      <c r="I183" s="33" t="str">
        <f t="shared" si="3"/>
        <v>#422 // República de Hungría</v>
      </c>
      <c r="J183" s="25">
        <v>1</v>
      </c>
      <c r="K183" s="31">
        <v>400</v>
      </c>
      <c r="M183" s="23" t="str">
        <f>CONCATENATE(CI_!$P$1,E183,", '",F183,"', '",G183,"' , ",H183," , '",I183,"' , ",J183,",",K183)</f>
        <v>EXECUTE [dbo].[SUB_CI_COUNTRY] 0, 0, 0, 422, 'República de Hungría', 'HUNGR' , 1 , '#422 // República de Hungría' , 1,400</v>
      </c>
    </row>
    <row r="184" spans="2:13" x14ac:dyDescent="0.25">
      <c r="B184" s="20">
        <v>0</v>
      </c>
      <c r="C184" s="20">
        <v>0</v>
      </c>
      <c r="D184" s="20">
        <v>0</v>
      </c>
      <c r="E184" s="15">
        <v>423</v>
      </c>
      <c r="F184" s="9" t="s">
        <v>203</v>
      </c>
      <c r="G184" s="9" t="s">
        <v>430</v>
      </c>
      <c r="H184" s="25">
        <v>1</v>
      </c>
      <c r="I184" s="33" t="str">
        <f t="shared" si="3"/>
        <v>#423 // República de Irlanda</v>
      </c>
      <c r="J184" s="25">
        <v>1</v>
      </c>
      <c r="K184" s="31">
        <v>400</v>
      </c>
      <c r="M184" s="23" t="str">
        <f>CONCATENATE(CI_!$P$1,E184,", '",F184,"', '",G184,"' , ",H184," , '",I184,"' , ",J184,",",K184)</f>
        <v>EXECUTE [dbo].[SUB_CI_COUNTRY] 0, 0, 0, 423, 'República de Irlanda', 'IRLAN' , 1 , '#423 // República de Irlanda' , 1,400</v>
      </c>
    </row>
    <row r="185" spans="2:13" x14ac:dyDescent="0.25">
      <c r="B185" s="20">
        <v>0</v>
      </c>
      <c r="C185" s="20">
        <v>0</v>
      </c>
      <c r="D185" s="20">
        <v>0</v>
      </c>
      <c r="E185" s="15">
        <v>424</v>
      </c>
      <c r="F185" s="9" t="s">
        <v>204</v>
      </c>
      <c r="G185" s="9" t="s">
        <v>431</v>
      </c>
      <c r="H185" s="25">
        <v>1</v>
      </c>
      <c r="I185" s="33" t="str">
        <f t="shared" si="3"/>
        <v>#424 // República de Islandia</v>
      </c>
      <c r="J185" s="25">
        <v>1</v>
      </c>
      <c r="K185" s="31">
        <v>400</v>
      </c>
      <c r="M185" s="23" t="str">
        <f>CONCATENATE(CI_!$P$1,E185,", '",F185,"', '",G185,"' , ",H185," , '",I185,"' , ",J185,",",K185)</f>
        <v>EXECUTE [dbo].[SUB_CI_COUNTRY] 0, 0, 0, 424, 'República de Islandia', 'ISLAN' , 1 , '#424 // República de Islandia' , 1,400</v>
      </c>
    </row>
    <row r="186" spans="2:13" x14ac:dyDescent="0.25">
      <c r="B186" s="20">
        <v>0</v>
      </c>
      <c r="C186" s="20">
        <v>0</v>
      </c>
      <c r="D186" s="20">
        <v>0</v>
      </c>
      <c r="E186" s="15">
        <v>425</v>
      </c>
      <c r="F186" s="9" t="s">
        <v>205</v>
      </c>
      <c r="G186" s="9" t="s">
        <v>432</v>
      </c>
      <c r="H186" s="25">
        <v>1</v>
      </c>
      <c r="I186" s="33" t="str">
        <f t="shared" si="3"/>
        <v>#425 // República Italiana</v>
      </c>
      <c r="J186" s="25">
        <v>1</v>
      </c>
      <c r="K186" s="31">
        <v>400</v>
      </c>
      <c r="M186" s="23" t="str">
        <f>CONCATENATE(CI_!$P$1,E186,", '",F186,"', '",G186,"' , ",H186," , '",I186,"' , ",J186,",",K186)</f>
        <v>EXECUTE [dbo].[SUB_CI_COUNTRY] 0, 0, 0, 425, 'República Italiana', 'ITALI' , 1 , '#425 // República Italiana' , 1,400</v>
      </c>
    </row>
    <row r="187" spans="2:13" x14ac:dyDescent="0.25">
      <c r="B187" s="20">
        <v>0</v>
      </c>
      <c r="C187" s="20">
        <v>0</v>
      </c>
      <c r="D187" s="20">
        <v>0</v>
      </c>
      <c r="E187" s="15">
        <v>426</v>
      </c>
      <c r="F187" s="9" t="s">
        <v>206</v>
      </c>
      <c r="G187" s="9" t="s">
        <v>433</v>
      </c>
      <c r="H187" s="25">
        <v>1</v>
      </c>
      <c r="I187" s="33" t="str">
        <f t="shared" si="3"/>
        <v>#426 // República de Letonia</v>
      </c>
      <c r="J187" s="25">
        <v>1</v>
      </c>
      <c r="K187" s="31">
        <v>400</v>
      </c>
      <c r="M187" s="23" t="str">
        <f>CONCATENATE(CI_!$P$1,E187,", '",F187,"', '",G187,"' , ",H187," , '",I187,"' , ",J187,",",K187)</f>
        <v>EXECUTE [dbo].[SUB_CI_COUNTRY] 0, 0, 0, 426, 'República de Letonia', 'LETON' , 1 , '#426 // República de Letonia' , 1,400</v>
      </c>
    </row>
    <row r="188" spans="2:13" x14ac:dyDescent="0.25">
      <c r="B188" s="20">
        <v>0</v>
      </c>
      <c r="C188" s="20">
        <v>0</v>
      </c>
      <c r="D188" s="20">
        <v>0</v>
      </c>
      <c r="E188" s="15">
        <v>427</v>
      </c>
      <c r="F188" s="9" t="s">
        <v>207</v>
      </c>
      <c r="G188" s="9" t="s">
        <v>434</v>
      </c>
      <c r="H188" s="25">
        <v>1</v>
      </c>
      <c r="I188" s="33" t="str">
        <f t="shared" si="3"/>
        <v>#427 // Principado de Liechtenstein</v>
      </c>
      <c r="J188" s="25">
        <v>1</v>
      </c>
      <c r="K188" s="31">
        <v>400</v>
      </c>
      <c r="M188" s="23" t="str">
        <f>CONCATENATE(CI_!$P$1,E188,", '",F188,"', '",G188,"' , ",H188," , '",I188,"' , ",J188,",",K188)</f>
        <v>EXECUTE [dbo].[SUB_CI_COUNTRY] 0, 0, 0, 427, 'Principado de Liechtenstein', 'LIECH' , 1 , '#427 // Principado de Liechtenstein' , 1,400</v>
      </c>
    </row>
    <row r="189" spans="2:13" x14ac:dyDescent="0.25">
      <c r="B189" s="20">
        <v>0</v>
      </c>
      <c r="C189" s="20">
        <v>0</v>
      </c>
      <c r="D189" s="20">
        <v>0</v>
      </c>
      <c r="E189" s="15">
        <v>428</v>
      </c>
      <c r="F189" s="9" t="s">
        <v>208</v>
      </c>
      <c r="G189" s="9" t="s">
        <v>435</v>
      </c>
      <c r="H189" s="25">
        <v>1</v>
      </c>
      <c r="I189" s="33" t="str">
        <f t="shared" si="3"/>
        <v>#428 // República de Lituania</v>
      </c>
      <c r="J189" s="25">
        <v>1</v>
      </c>
      <c r="K189" s="31">
        <v>400</v>
      </c>
      <c r="M189" s="23" t="str">
        <f>CONCATENATE(CI_!$P$1,E189,", '",F189,"', '",G189,"' , ",H189," , '",I189,"' , ",J189,",",K189)</f>
        <v>EXECUTE [dbo].[SUB_CI_COUNTRY] 0, 0, 0, 428, 'República de Lituania', 'LITUA' , 1 , '#428 // República de Lituania' , 1,400</v>
      </c>
    </row>
    <row r="190" spans="2:13" x14ac:dyDescent="0.25">
      <c r="B190" s="20">
        <v>0</v>
      </c>
      <c r="C190" s="20">
        <v>0</v>
      </c>
      <c r="D190" s="20">
        <v>0</v>
      </c>
      <c r="E190" s="15">
        <v>429</v>
      </c>
      <c r="F190" s="9" t="s">
        <v>209</v>
      </c>
      <c r="G190" s="9" t="s">
        <v>436</v>
      </c>
      <c r="H190" s="25">
        <v>1</v>
      </c>
      <c r="I190" s="33" t="str">
        <f t="shared" si="3"/>
        <v>#429 // Gran Ducado de Luxemburgo</v>
      </c>
      <c r="J190" s="25">
        <v>1</v>
      </c>
      <c r="K190" s="31">
        <v>400</v>
      </c>
      <c r="M190" s="23" t="str">
        <f>CONCATENATE(CI_!$P$1,E190,", '",F190,"', '",G190,"' , ",H190," , '",I190,"' , ",J190,",",K190)</f>
        <v>EXECUTE [dbo].[SUB_CI_COUNTRY] 0, 0, 0, 429, 'Gran Ducado de Luxemburgo', 'LUXEM' , 1 , '#429 // Gran Ducado de Luxemburgo' , 1,400</v>
      </c>
    </row>
    <row r="191" spans="2:13" x14ac:dyDescent="0.25">
      <c r="B191" s="20">
        <v>0</v>
      </c>
      <c r="C191" s="20">
        <v>0</v>
      </c>
      <c r="D191" s="20">
        <v>0</v>
      </c>
      <c r="E191" s="15">
        <v>430</v>
      </c>
      <c r="F191" s="9" t="s">
        <v>210</v>
      </c>
      <c r="G191" s="9" t="s">
        <v>437</v>
      </c>
      <c r="H191" s="25">
        <v>1</v>
      </c>
      <c r="I191" s="33" t="str">
        <f t="shared" si="3"/>
        <v>#430 // Antigua República Yugoslava de Macedonia</v>
      </c>
      <c r="J191" s="25">
        <v>1</v>
      </c>
      <c r="K191" s="31">
        <v>400</v>
      </c>
      <c r="M191" s="23" t="str">
        <f>CONCATENATE(CI_!$P$1,E191,", '",F191,"', '",G191,"' , ",H191," , '",I191,"' , ",J191,",",K191)</f>
        <v>EXECUTE [dbo].[SUB_CI_COUNTRY] 0, 0, 0, 430, 'Antigua República Yugoslava de Macedonia', 'MACED' , 1 , '#430 // Antigua República Yugoslava de Macedonia' , 1,400</v>
      </c>
    </row>
    <row r="192" spans="2:13" x14ac:dyDescent="0.25">
      <c r="B192" s="20">
        <v>0</v>
      </c>
      <c r="C192" s="20">
        <v>0</v>
      </c>
      <c r="D192" s="20">
        <v>0</v>
      </c>
      <c r="E192" s="15">
        <v>431</v>
      </c>
      <c r="F192" s="9" t="s">
        <v>211</v>
      </c>
      <c r="G192" s="9" t="s">
        <v>438</v>
      </c>
      <c r="H192" s="25">
        <v>1</v>
      </c>
      <c r="I192" s="33" t="str">
        <f t="shared" si="3"/>
        <v>#431 // República de Malta</v>
      </c>
      <c r="J192" s="25">
        <v>1</v>
      </c>
      <c r="K192" s="31">
        <v>400</v>
      </c>
      <c r="M192" s="23" t="str">
        <f>CONCATENATE(CI_!$P$1,E192,", '",F192,"', '",G192,"' , ",H192," , '",I192,"' , ",J192,",",K192)</f>
        <v>EXECUTE [dbo].[SUB_CI_COUNTRY] 0, 0, 0, 431, 'República de Malta', 'MALTA' , 1 , '#431 // República de Malta' , 1,400</v>
      </c>
    </row>
    <row r="193" spans="2:13" x14ac:dyDescent="0.25">
      <c r="B193" s="20">
        <v>0</v>
      </c>
      <c r="C193" s="20">
        <v>0</v>
      </c>
      <c r="D193" s="20">
        <v>0</v>
      </c>
      <c r="E193" s="15">
        <v>433</v>
      </c>
      <c r="F193" s="9" t="s">
        <v>212</v>
      </c>
      <c r="G193" s="9" t="s">
        <v>439</v>
      </c>
      <c r="H193" s="25">
        <v>1</v>
      </c>
      <c r="I193" s="33" t="str">
        <f t="shared" si="3"/>
        <v>#433 // República de Moldavia</v>
      </c>
      <c r="J193" s="25">
        <v>1</v>
      </c>
      <c r="K193" s="31">
        <v>400</v>
      </c>
      <c r="M193" s="23" t="str">
        <f>CONCATENATE(CI_!$P$1,E193,", '",F193,"', '",G193,"' , ",H193," , '",I193,"' , ",J193,",",K193)</f>
        <v>EXECUTE [dbo].[SUB_CI_COUNTRY] 0, 0, 0, 433, 'República de Moldavia', 'MOLDA' , 1 , '#433 // República de Moldavia' , 1,400</v>
      </c>
    </row>
    <row r="194" spans="2:13" x14ac:dyDescent="0.25">
      <c r="B194" s="20">
        <v>0</v>
      </c>
      <c r="C194" s="20">
        <v>0</v>
      </c>
      <c r="D194" s="20">
        <v>0</v>
      </c>
      <c r="E194" s="15">
        <v>434</v>
      </c>
      <c r="F194" s="9" t="s">
        <v>213</v>
      </c>
      <c r="G194" s="9" t="s">
        <v>440</v>
      </c>
      <c r="H194" s="25">
        <v>1</v>
      </c>
      <c r="I194" s="33" t="str">
        <f t="shared" si="3"/>
        <v>#434 // Principado de Mónaco</v>
      </c>
      <c r="J194" s="25">
        <v>1</v>
      </c>
      <c r="K194" s="31">
        <v>400</v>
      </c>
      <c r="M194" s="23" t="str">
        <f>CONCATENATE(CI_!$P$1,E194,", '",F194,"', '",G194,"' , ",H194," , '",I194,"' , ",J194,",",K194)</f>
        <v>EXECUTE [dbo].[SUB_CI_COUNTRY] 0, 0, 0, 434, 'Principado de Mónaco', 'MÓNAC' , 1 , '#434 // Principado de Mónaco' , 1,400</v>
      </c>
    </row>
    <row r="195" spans="2:13" x14ac:dyDescent="0.25">
      <c r="B195" s="20">
        <v>0</v>
      </c>
      <c r="C195" s="20">
        <v>0</v>
      </c>
      <c r="D195" s="20">
        <v>0</v>
      </c>
      <c r="E195" s="15">
        <v>435</v>
      </c>
      <c r="F195" s="9" t="s">
        <v>214</v>
      </c>
      <c r="G195" s="9" t="s">
        <v>441</v>
      </c>
      <c r="H195" s="25">
        <v>1</v>
      </c>
      <c r="I195" s="33" t="str">
        <f t="shared" si="3"/>
        <v>#435 // Reino de Noruega</v>
      </c>
      <c r="J195" s="25">
        <v>1</v>
      </c>
      <c r="K195" s="31">
        <v>400</v>
      </c>
      <c r="M195" s="23" t="str">
        <f>CONCATENATE(CI_!$P$1,E195,", '",F195,"', '",G195,"' , ",H195," , '",I195,"' , ",J195,",",K195)</f>
        <v>EXECUTE [dbo].[SUB_CI_COUNTRY] 0, 0, 0, 435, 'Reino de Noruega', 'NORUE' , 1 , '#435 // Reino de Noruega' , 1,400</v>
      </c>
    </row>
    <row r="196" spans="2:13" x14ac:dyDescent="0.25">
      <c r="B196" s="20">
        <v>0</v>
      </c>
      <c r="C196" s="20">
        <v>0</v>
      </c>
      <c r="D196" s="20">
        <v>0</v>
      </c>
      <c r="E196" s="15">
        <v>436</v>
      </c>
      <c r="F196" s="9" t="s">
        <v>215</v>
      </c>
      <c r="G196" s="9" t="s">
        <v>442</v>
      </c>
      <c r="H196" s="25">
        <v>1</v>
      </c>
      <c r="I196" s="33" t="str">
        <f t="shared" si="3"/>
        <v>#436 // Reino de los Países Bajos</v>
      </c>
      <c r="J196" s="25">
        <v>1</v>
      </c>
      <c r="K196" s="31">
        <v>400</v>
      </c>
      <c r="M196" s="23" t="str">
        <f>CONCATENATE(CI_!$P$1,E196,", '",F196,"', '",G196,"' , ",H196," , '",I196,"' , ",J196,",",K196)</f>
        <v>EXECUTE [dbo].[SUB_CI_COUNTRY] 0, 0, 0, 436, 'Reino de los Países Bajos', 'PBAJO' , 1 , '#436 // Reino de los Países Bajos' , 1,400</v>
      </c>
    </row>
    <row r="197" spans="2:13" x14ac:dyDescent="0.25">
      <c r="B197" s="20">
        <v>0</v>
      </c>
      <c r="C197" s="20">
        <v>0</v>
      </c>
      <c r="D197" s="20">
        <v>0</v>
      </c>
      <c r="E197" s="15">
        <v>437</v>
      </c>
      <c r="F197" s="9" t="s">
        <v>216</v>
      </c>
      <c r="G197" s="9" t="s">
        <v>443</v>
      </c>
      <c r="H197" s="25">
        <v>1</v>
      </c>
      <c r="I197" s="33" t="str">
        <f t="shared" si="3"/>
        <v>#437 // República de Polonia</v>
      </c>
      <c r="J197" s="25">
        <v>1</v>
      </c>
      <c r="K197" s="31">
        <v>400</v>
      </c>
      <c r="M197" s="23" t="str">
        <f>CONCATENATE(CI_!$P$1,E197,", '",F197,"', '",G197,"' , ",H197," , '",I197,"' , ",J197,",",K197)</f>
        <v>EXECUTE [dbo].[SUB_CI_COUNTRY] 0, 0, 0, 437, 'República de Polonia', 'POLON' , 1 , '#437 // República de Polonia' , 1,400</v>
      </c>
    </row>
    <row r="198" spans="2:13" x14ac:dyDescent="0.25">
      <c r="B198" s="20">
        <v>0</v>
      </c>
      <c r="C198" s="20">
        <v>0</v>
      </c>
      <c r="D198" s="20">
        <v>0</v>
      </c>
      <c r="E198" s="15">
        <v>438</v>
      </c>
      <c r="F198" s="9" t="s">
        <v>217</v>
      </c>
      <c r="G198" s="9" t="s">
        <v>444</v>
      </c>
      <c r="H198" s="25">
        <v>1</v>
      </c>
      <c r="I198" s="33" t="str">
        <f t="shared" si="3"/>
        <v>#438 // República Portuguesa</v>
      </c>
      <c r="J198" s="25">
        <v>1</v>
      </c>
      <c r="K198" s="31">
        <v>400</v>
      </c>
      <c r="M198" s="23" t="str">
        <f>CONCATENATE(CI_!$P$1,E198,", '",F198,"', '",G198,"' , ",H198," , '",I198,"' , ",J198,",",K198)</f>
        <v>EXECUTE [dbo].[SUB_CI_COUNTRY] 0, 0, 0, 438, 'República Portuguesa', 'PORTU' , 1 , '#438 // República Portuguesa' , 1,400</v>
      </c>
    </row>
    <row r="199" spans="2:13" x14ac:dyDescent="0.25">
      <c r="B199" s="20">
        <v>0</v>
      </c>
      <c r="C199" s="20">
        <v>0</v>
      </c>
      <c r="D199" s="20">
        <v>0</v>
      </c>
      <c r="E199" s="15">
        <v>439</v>
      </c>
      <c r="F199" s="9" t="s">
        <v>218</v>
      </c>
      <c r="G199" s="9" t="s">
        <v>445</v>
      </c>
      <c r="H199" s="25">
        <v>1</v>
      </c>
      <c r="I199" s="33" t="str">
        <f t="shared" si="3"/>
        <v>#439 // Reino Unido de Gran Bretaña e Irlanda</v>
      </c>
      <c r="J199" s="25">
        <v>1</v>
      </c>
      <c r="K199" s="31">
        <v>400</v>
      </c>
      <c r="M199" s="23" t="str">
        <f>CONCATENATE(CI_!$P$1,E199,", '",F199,"', '",G199,"' , ",H199," , '",I199,"' , ",J199,",",K199)</f>
        <v>EXECUTE [dbo].[SUB_CI_COUNTRY] 0, 0, 0, 439, 'Reino Unido de Gran Bretaña e Irlanda', 'RUNID' , 1 , '#439 // Reino Unido de Gran Bretaña e Irlanda' , 1,400</v>
      </c>
    </row>
    <row r="200" spans="2:13" x14ac:dyDescent="0.25">
      <c r="B200" s="20">
        <v>0</v>
      </c>
      <c r="C200" s="20">
        <v>0</v>
      </c>
      <c r="D200" s="20">
        <v>0</v>
      </c>
      <c r="E200" s="15">
        <v>440</v>
      </c>
      <c r="F200" s="9" t="s">
        <v>219</v>
      </c>
      <c r="G200" s="9" t="s">
        <v>446</v>
      </c>
      <c r="H200" s="25">
        <v>1</v>
      </c>
      <c r="I200" s="33" t="str">
        <f t="shared" si="3"/>
        <v>#440 // República Checa</v>
      </c>
      <c r="J200" s="25">
        <v>1</v>
      </c>
      <c r="K200" s="31">
        <v>400</v>
      </c>
      <c r="M200" s="23" t="str">
        <f>CONCATENATE(CI_!$P$1,E200,", '",F200,"', '",G200,"' , ",H200," , '",I200,"' , ",J200,",",K200)</f>
        <v>EXECUTE [dbo].[SUB_CI_COUNTRY] 0, 0, 0, 440, 'República Checa', 'CHECA' , 1 , '#440 // República Checa' , 1,400</v>
      </c>
    </row>
    <row r="201" spans="2:13" x14ac:dyDescent="0.25">
      <c r="B201" s="20">
        <v>0</v>
      </c>
      <c r="C201" s="20">
        <v>0</v>
      </c>
      <c r="D201" s="20">
        <v>0</v>
      </c>
      <c r="E201" s="15">
        <v>441</v>
      </c>
      <c r="F201" s="9" t="s">
        <v>220</v>
      </c>
      <c r="G201" s="9" t="s">
        <v>447</v>
      </c>
      <c r="H201" s="25">
        <v>1</v>
      </c>
      <c r="I201" s="33" t="str">
        <f t="shared" ref="I201:I231" si="4">CONCATENATE("#",E201," // ",F201)</f>
        <v>#441 // Rumania</v>
      </c>
      <c r="J201" s="25">
        <v>1</v>
      </c>
      <c r="K201" s="31">
        <v>400</v>
      </c>
      <c r="M201" s="23" t="str">
        <f>CONCATENATE(CI_!$P$1,E201,", '",F201,"', '",G201,"' , ",H201," , '",I201,"' , ",J201,",",K201)</f>
        <v>EXECUTE [dbo].[SUB_CI_COUNTRY] 0, 0, 0, 441, 'Rumania', 'RUMAN' , 1 , '#441 // Rumania' , 1,400</v>
      </c>
    </row>
    <row r="202" spans="2:13" x14ac:dyDescent="0.25">
      <c r="B202" s="20">
        <v>0</v>
      </c>
      <c r="C202" s="20">
        <v>0</v>
      </c>
      <c r="D202" s="20">
        <v>0</v>
      </c>
      <c r="E202" s="15">
        <v>442</v>
      </c>
      <c r="F202" s="9" t="s">
        <v>221</v>
      </c>
      <c r="G202" s="9" t="s">
        <v>448</v>
      </c>
      <c r="H202" s="25">
        <v>1</v>
      </c>
      <c r="I202" s="33" t="str">
        <f t="shared" si="4"/>
        <v>#442 // Federación de Rusia</v>
      </c>
      <c r="J202" s="25">
        <v>1</v>
      </c>
      <c r="K202" s="31">
        <v>400</v>
      </c>
      <c r="M202" s="23" t="str">
        <f>CONCATENATE(CI_!$P$1,E202,", '",F202,"', '",G202,"' , ",H202," , '",I202,"' , ",J202,",",K202)</f>
        <v>EXECUTE [dbo].[SUB_CI_COUNTRY] 0, 0, 0, 442, 'Federación de Rusia', 'RUSIA' , 1 , '#442 // Federación de Rusia' , 1,400</v>
      </c>
    </row>
    <row r="203" spans="2:13" x14ac:dyDescent="0.25">
      <c r="B203" s="20">
        <v>0</v>
      </c>
      <c r="C203" s="20">
        <v>0</v>
      </c>
      <c r="D203" s="20">
        <v>0</v>
      </c>
      <c r="E203" s="15">
        <v>443</v>
      </c>
      <c r="F203" s="9" t="s">
        <v>222</v>
      </c>
      <c r="G203" s="9" t="s">
        <v>449</v>
      </c>
      <c r="H203" s="25">
        <v>1</v>
      </c>
      <c r="I203" s="33" t="str">
        <f t="shared" si="4"/>
        <v>#443 // República de San Marino</v>
      </c>
      <c r="J203" s="25">
        <v>1</v>
      </c>
      <c r="K203" s="31">
        <v>400</v>
      </c>
      <c r="M203" s="23" t="str">
        <f>CONCATENATE(CI_!$P$1,E203,", '",F203,"', '",G203,"' , ",H203," , '",I203,"' , ",J203,",",K203)</f>
        <v>EXECUTE [dbo].[SUB_CI_COUNTRY] 0, 0, 0, 443, 'República de San Marino', 'SMARI' , 1 , '#443 // República de San Marino' , 1,400</v>
      </c>
    </row>
    <row r="204" spans="2:13" x14ac:dyDescent="0.25">
      <c r="B204" s="20">
        <v>0</v>
      </c>
      <c r="C204" s="20">
        <v>0</v>
      </c>
      <c r="D204" s="20">
        <v>0</v>
      </c>
      <c r="E204" s="15">
        <v>444</v>
      </c>
      <c r="F204" s="9" t="s">
        <v>223</v>
      </c>
      <c r="G204" s="9" t="s">
        <v>450</v>
      </c>
      <c r="H204" s="25">
        <v>1</v>
      </c>
      <c r="I204" s="33" t="str">
        <f t="shared" si="4"/>
        <v>#444 // Estado de la Ciudad del Vaticano</v>
      </c>
      <c r="J204" s="25">
        <v>1</v>
      </c>
      <c r="K204" s="31">
        <v>400</v>
      </c>
      <c r="M204" s="23" t="str">
        <f>CONCATENATE(CI_!$P$1,E204,", '",F204,"', '",G204,"' , ",H204," , '",I204,"' , ",J204,",",K204)</f>
        <v>EXECUTE [dbo].[SUB_CI_COUNTRY] 0, 0, 0, 444, 'Estado de la Ciudad del Vaticano', 'VATIC' , 1 , '#444 // Estado de la Ciudad del Vaticano' , 1,400</v>
      </c>
    </row>
    <row r="205" spans="2:13" x14ac:dyDescent="0.25">
      <c r="B205" s="20">
        <v>0</v>
      </c>
      <c r="C205" s="20">
        <v>0</v>
      </c>
      <c r="D205" s="20">
        <v>0</v>
      </c>
      <c r="E205" s="15">
        <v>445</v>
      </c>
      <c r="F205" s="9" t="s">
        <v>224</v>
      </c>
      <c r="G205" s="9" t="s">
        <v>451</v>
      </c>
      <c r="H205" s="25">
        <v>1</v>
      </c>
      <c r="I205" s="33" t="str">
        <f t="shared" si="4"/>
        <v>#445 // Reino de Suecia</v>
      </c>
      <c r="J205" s="25">
        <v>1</v>
      </c>
      <c r="K205" s="31">
        <v>400</v>
      </c>
      <c r="M205" s="23" t="str">
        <f>CONCATENATE(CI_!$P$1,E205,", '",F205,"', '",G205,"' , ",H205," , '",I205,"' , ",J205,",",K205)</f>
        <v>EXECUTE [dbo].[SUB_CI_COUNTRY] 0, 0, 0, 445, 'Reino de Suecia', 'SUECI' , 1 , '#445 // Reino de Suecia' , 1,400</v>
      </c>
    </row>
    <row r="206" spans="2:13" x14ac:dyDescent="0.25">
      <c r="B206" s="20">
        <v>0</v>
      </c>
      <c r="C206" s="20">
        <v>0</v>
      </c>
      <c r="D206" s="20">
        <v>0</v>
      </c>
      <c r="E206" s="15">
        <v>446</v>
      </c>
      <c r="F206" s="9" t="s">
        <v>225</v>
      </c>
      <c r="G206" s="9" t="s">
        <v>452</v>
      </c>
      <c r="H206" s="25">
        <v>1</v>
      </c>
      <c r="I206" s="33" t="str">
        <f t="shared" si="4"/>
        <v>#446 // Confederación Suiza</v>
      </c>
      <c r="J206" s="25">
        <v>1</v>
      </c>
      <c r="K206" s="31">
        <v>400</v>
      </c>
      <c r="M206" s="23" t="str">
        <f>CONCATENATE(CI_!$P$1,E206,", '",F206,"', '",G206,"' , ",H206," , '",I206,"' , ",J206,",",K206)</f>
        <v>EXECUTE [dbo].[SUB_CI_COUNTRY] 0, 0, 0, 446, 'Confederación Suiza', 'SUIZA' , 1 , '#446 // Confederación Suiza' , 1,400</v>
      </c>
    </row>
    <row r="207" spans="2:13" x14ac:dyDescent="0.25">
      <c r="B207" s="20">
        <v>0</v>
      </c>
      <c r="C207" s="20">
        <v>0</v>
      </c>
      <c r="D207" s="20">
        <v>0</v>
      </c>
      <c r="E207" s="15">
        <v>447</v>
      </c>
      <c r="F207" s="9" t="s">
        <v>226</v>
      </c>
      <c r="G207" s="9" t="s">
        <v>453</v>
      </c>
      <c r="H207" s="25">
        <v>1</v>
      </c>
      <c r="I207" s="33" t="str">
        <f t="shared" si="4"/>
        <v>#447 // Ucrania</v>
      </c>
      <c r="J207" s="25">
        <v>1</v>
      </c>
      <c r="K207" s="31">
        <v>400</v>
      </c>
      <c r="M207" s="23" t="str">
        <f>CONCATENATE(CI_!$P$1,E207,", '",F207,"', '",G207,"' , ",H207," , '",I207,"' , ",J207,",",K207)</f>
        <v>EXECUTE [dbo].[SUB_CI_COUNTRY] 0, 0, 0, 447, 'Ucrania', 'UCRAN' , 1 , '#447 // Ucrania' , 1,400</v>
      </c>
    </row>
    <row r="208" spans="2:13" x14ac:dyDescent="0.25">
      <c r="B208" s="20">
        <v>0</v>
      </c>
      <c r="C208" s="20">
        <v>0</v>
      </c>
      <c r="D208" s="20">
        <v>0</v>
      </c>
      <c r="E208" s="15">
        <v>452</v>
      </c>
      <c r="F208" s="9" t="s">
        <v>227</v>
      </c>
      <c r="G208" s="9" t="s">
        <v>454</v>
      </c>
      <c r="H208" s="25">
        <v>1</v>
      </c>
      <c r="I208" s="33" t="str">
        <f t="shared" si="4"/>
        <v>#452 // República de Serbia</v>
      </c>
      <c r="J208" s="25">
        <v>1</v>
      </c>
      <c r="K208" s="31">
        <v>400</v>
      </c>
      <c r="M208" s="23" t="str">
        <f>CONCATENATE(CI_!$P$1,E208,", '",F208,"', '",G208,"' , ",H208," , '",I208,"' , ",J208,",",K208)</f>
        <v>EXECUTE [dbo].[SUB_CI_COUNTRY] 0, 0, 0, 452, 'República de Serbia', 'SERBI' , 1 , '#452 // República de Serbia' , 1,400</v>
      </c>
    </row>
    <row r="209" spans="2:13" x14ac:dyDescent="0.25">
      <c r="B209" s="20">
        <v>0</v>
      </c>
      <c r="C209" s="20">
        <v>0</v>
      </c>
      <c r="D209" s="20">
        <v>0</v>
      </c>
      <c r="E209" s="15">
        <v>453</v>
      </c>
      <c r="F209" s="9" t="s">
        <v>228</v>
      </c>
      <c r="G209" s="9" t="s">
        <v>455</v>
      </c>
      <c r="H209" s="25">
        <v>1</v>
      </c>
      <c r="I209" s="33" t="str">
        <f t="shared" si="4"/>
        <v>#453 // República de Montenegro</v>
      </c>
      <c r="J209" s="25">
        <v>1</v>
      </c>
      <c r="K209" s="31">
        <v>400</v>
      </c>
      <c r="M209" s="23" t="str">
        <f>CONCATENATE(CI_!$P$1,E209,", '",F209,"', '",G209,"' , ",H209," , '",I209,"' , ",J209,",",K209)</f>
        <v>EXECUTE [dbo].[SUB_CI_COUNTRY] 0, 0, 0, 453, 'República de Montenegro', 'MONTE' , 1 , '#453 // República de Montenegro' , 1,400</v>
      </c>
    </row>
    <row r="210" spans="2:13" x14ac:dyDescent="0.25">
      <c r="B210" s="20">
        <v>0</v>
      </c>
      <c r="C210" s="20">
        <v>0</v>
      </c>
      <c r="D210" s="20">
        <v>0</v>
      </c>
      <c r="E210" s="15">
        <v>501</v>
      </c>
      <c r="F210" s="9" t="s">
        <v>229</v>
      </c>
      <c r="G210" s="9" t="s">
        <v>456</v>
      </c>
      <c r="H210" s="25">
        <v>1</v>
      </c>
      <c r="I210" s="33" t="str">
        <f t="shared" si="4"/>
        <v>#501 // Commonwealth de Australia</v>
      </c>
      <c r="J210" s="25">
        <v>1</v>
      </c>
      <c r="K210" s="31">
        <v>500</v>
      </c>
      <c r="M210" s="23" t="str">
        <f>CONCATENATE(CI_!$P$1,E210,", '",F210,"', '",G210,"' , ",H210," , '",I210,"' , ",J210,",",K210)</f>
        <v>EXECUTE [dbo].[SUB_CI_COUNTRY] 0, 0, 0, 501, 'Commonwealth de Australia', 'ASTRL' , 1 , '#501 // Commonwealth de Australia' , 1,500</v>
      </c>
    </row>
    <row r="211" spans="2:13" x14ac:dyDescent="0.25">
      <c r="B211" s="20">
        <v>0</v>
      </c>
      <c r="C211" s="20">
        <v>0</v>
      </c>
      <c r="D211" s="20">
        <v>0</v>
      </c>
      <c r="E211" s="15">
        <v>503</v>
      </c>
      <c r="F211" s="9" t="s">
        <v>230</v>
      </c>
      <c r="G211" s="9" t="s">
        <v>457</v>
      </c>
      <c r="H211" s="25">
        <v>1</v>
      </c>
      <c r="I211" s="33" t="str">
        <f t="shared" si="4"/>
        <v>#503 // Islas Cook</v>
      </c>
      <c r="J211" s="25">
        <v>1</v>
      </c>
      <c r="K211" s="31">
        <v>500</v>
      </c>
      <c r="M211" s="23" t="str">
        <f>CONCATENATE(CI_!$P$1,E211,", '",F211,"', '",G211,"' , ",H211," , '",I211,"' , ",J211,",",K211)</f>
        <v>EXECUTE [dbo].[SUB_CI_COUNTRY] 0, 0, 0, 503, 'Islas Cook', 'ICOOK' , 1 , '#503 // Islas Cook' , 1,500</v>
      </c>
    </row>
    <row r="212" spans="2:13" x14ac:dyDescent="0.25">
      <c r="B212" s="20">
        <v>0</v>
      </c>
      <c r="C212" s="20">
        <v>0</v>
      </c>
      <c r="D212" s="20">
        <v>0</v>
      </c>
      <c r="E212" s="15">
        <v>505</v>
      </c>
      <c r="F212" s="9" t="s">
        <v>231</v>
      </c>
      <c r="G212" s="9" t="s">
        <v>458</v>
      </c>
      <c r="H212" s="25">
        <v>1</v>
      </c>
      <c r="I212" s="33" t="str">
        <f t="shared" si="4"/>
        <v>#505 // Guam</v>
      </c>
      <c r="J212" s="25">
        <v>1</v>
      </c>
      <c r="K212" s="31">
        <v>500</v>
      </c>
      <c r="M212" s="23" t="str">
        <f>CONCATENATE(CI_!$P$1,E212,", '",F212,"', '",G212,"' , ",H212," , '",I212,"' , ",J212,",",K212)</f>
        <v>EXECUTE [dbo].[SUB_CI_COUNTRY] 0, 0, 0, 505, 'Guam', 'GUAM' , 1 , '#505 // Guam' , 1,500</v>
      </c>
    </row>
    <row r="213" spans="2:13" x14ac:dyDescent="0.25">
      <c r="B213" s="20">
        <v>0</v>
      </c>
      <c r="C213" s="20">
        <v>0</v>
      </c>
      <c r="D213" s="20">
        <v>0</v>
      </c>
      <c r="E213" s="15">
        <v>507</v>
      </c>
      <c r="F213" s="9" t="s">
        <v>232</v>
      </c>
      <c r="G213" s="9" t="s">
        <v>459</v>
      </c>
      <c r="H213" s="25">
        <v>1</v>
      </c>
      <c r="I213" s="33" t="str">
        <f t="shared" si="4"/>
        <v>#507 // República de Kiribati</v>
      </c>
      <c r="J213" s="25">
        <v>1</v>
      </c>
      <c r="K213" s="31">
        <v>500</v>
      </c>
      <c r="M213" s="23" t="str">
        <f>CONCATENATE(CI_!$P$1,E213,", '",F213,"', '",G213,"' , ",H213," , '",I213,"' , ",J213,",",K213)</f>
        <v>EXECUTE [dbo].[SUB_CI_COUNTRY] 0, 0, 0, 507, 'República de Kiribati', 'KIRIB' , 1 , '#507 // República de Kiribati' , 1,500</v>
      </c>
    </row>
    <row r="214" spans="2:13" x14ac:dyDescent="0.25">
      <c r="B214" s="20">
        <v>0</v>
      </c>
      <c r="C214" s="20">
        <v>0</v>
      </c>
      <c r="D214" s="20">
        <v>0</v>
      </c>
      <c r="E214" s="15">
        <v>512</v>
      </c>
      <c r="F214" s="9" t="s">
        <v>233</v>
      </c>
      <c r="G214" s="9" t="s">
        <v>460</v>
      </c>
      <c r="H214" s="25">
        <v>1</v>
      </c>
      <c r="I214" s="33" t="str">
        <f t="shared" si="4"/>
        <v>#512 // Islas Marianas del Norte</v>
      </c>
      <c r="J214" s="25">
        <v>1</v>
      </c>
      <c r="K214" s="31">
        <v>500</v>
      </c>
      <c r="M214" s="23" t="str">
        <f>CONCATENATE(CI_!$P$1,E214,", '",F214,"', '",G214,"' , ",H214," , '",I214,"' , ",J214,",",K214)</f>
        <v>EXECUTE [dbo].[SUB_CI_COUNTRY] 0, 0, 0, 512, 'Islas Marianas del Norte', 'IMARN' , 1 , '#512 // Islas Marianas del Norte' , 1,500</v>
      </c>
    </row>
    <row r="215" spans="2:13" x14ac:dyDescent="0.25">
      <c r="B215" s="20">
        <v>0</v>
      </c>
      <c r="C215" s="20">
        <v>0</v>
      </c>
      <c r="D215" s="20">
        <v>0</v>
      </c>
      <c r="E215" s="15">
        <v>513</v>
      </c>
      <c r="F215" s="9" t="s">
        <v>234</v>
      </c>
      <c r="G215" s="9" t="s">
        <v>461</v>
      </c>
      <c r="H215" s="25">
        <v>1</v>
      </c>
      <c r="I215" s="33" t="str">
        <f t="shared" si="4"/>
        <v>#513 // República de las Islas Marsha</v>
      </c>
      <c r="J215" s="25">
        <v>1</v>
      </c>
      <c r="K215" s="31">
        <v>500</v>
      </c>
      <c r="M215" s="23" t="str">
        <f>CONCATENATE(CI_!$P$1,E215,", '",F215,"', '",G215,"' , ",H215," , '",I215,"' , ",J215,",",K215)</f>
        <v>EXECUTE [dbo].[SUB_CI_COUNTRY] 0, 0, 0, 513, 'República de las Islas Marsha', 'IMARS' , 1 , '#513 // República de las Islas Marsha' , 1,500</v>
      </c>
    </row>
    <row r="216" spans="2:13" x14ac:dyDescent="0.25">
      <c r="B216" s="20">
        <v>0</v>
      </c>
      <c r="C216" s="20">
        <v>0</v>
      </c>
      <c r="D216" s="20">
        <v>0</v>
      </c>
      <c r="E216" s="15">
        <v>514</v>
      </c>
      <c r="F216" s="9" t="s">
        <v>235</v>
      </c>
      <c r="G216" s="9" t="s">
        <v>462</v>
      </c>
      <c r="H216" s="25">
        <v>1</v>
      </c>
      <c r="I216" s="33" t="str">
        <f t="shared" si="4"/>
        <v>#514 // Estados Federados de Micronesia</v>
      </c>
      <c r="J216" s="25">
        <v>1</v>
      </c>
      <c r="K216" s="31">
        <v>500</v>
      </c>
      <c r="M216" s="23" t="str">
        <f>CONCATENATE(CI_!$P$1,E216,", '",F216,"', '",G216,"' , ",H216," , '",I216,"' , ",J216,",",K216)</f>
        <v>EXECUTE [dbo].[SUB_CI_COUNTRY] 0, 0, 0, 514, 'Estados Federados de Micronesia', 'EFMIC' , 1 , '#514 // Estados Federados de Micronesia' , 1,500</v>
      </c>
    </row>
    <row r="217" spans="2:13" x14ac:dyDescent="0.25">
      <c r="B217" s="20">
        <v>0</v>
      </c>
      <c r="C217" s="20">
        <v>0</v>
      </c>
      <c r="D217" s="20">
        <v>0</v>
      </c>
      <c r="E217" s="15">
        <v>516</v>
      </c>
      <c r="F217" s="9" t="s">
        <v>236</v>
      </c>
      <c r="G217" s="9" t="s">
        <v>463</v>
      </c>
      <c r="H217" s="25">
        <v>1</v>
      </c>
      <c r="I217" s="33" t="str">
        <f t="shared" si="4"/>
        <v>#516 // República de Nauru</v>
      </c>
      <c r="J217" s="25">
        <v>1</v>
      </c>
      <c r="K217" s="31">
        <v>500</v>
      </c>
      <c r="M217" s="23" t="str">
        <f>CONCATENATE(CI_!$P$1,E217,", '",F217,"', '",G217,"' , ",H217," , '",I217,"' , ",J217,",",K217)</f>
        <v>EXECUTE [dbo].[SUB_CI_COUNTRY] 0, 0, 0, 516, 'República de Nauru', 'NAURU' , 1 , '#516 // República de Nauru' , 1,500</v>
      </c>
    </row>
    <row r="218" spans="2:13" x14ac:dyDescent="0.25">
      <c r="B218" s="20">
        <v>0</v>
      </c>
      <c r="C218" s="20">
        <v>0</v>
      </c>
      <c r="D218" s="20">
        <v>0</v>
      </c>
      <c r="E218" s="15">
        <v>517</v>
      </c>
      <c r="F218" s="9" t="s">
        <v>237</v>
      </c>
      <c r="G218" s="9" t="s">
        <v>464</v>
      </c>
      <c r="H218" s="25">
        <v>1</v>
      </c>
      <c r="I218" s="33" t="str">
        <f t="shared" si="4"/>
        <v>#517 // Niue</v>
      </c>
      <c r="J218" s="25">
        <v>1</v>
      </c>
      <c r="K218" s="31">
        <v>500</v>
      </c>
      <c r="M218" s="23" t="str">
        <f>CONCATENATE(CI_!$P$1,E218,", '",F218,"', '",G218,"' , ",H218," , '",I218,"' , ",J218,",",K218)</f>
        <v>EXECUTE [dbo].[SUB_CI_COUNTRY] 0, 0, 0, 517, 'Niue', 'NIUE' , 1 , '#517 // Niue' , 1,500</v>
      </c>
    </row>
    <row r="219" spans="2:13" x14ac:dyDescent="0.25">
      <c r="B219" s="20">
        <v>0</v>
      </c>
      <c r="C219" s="20">
        <v>0</v>
      </c>
      <c r="D219" s="20">
        <v>0</v>
      </c>
      <c r="E219" s="15">
        <v>520</v>
      </c>
      <c r="F219" s="9" t="s">
        <v>238</v>
      </c>
      <c r="G219" s="9" t="s">
        <v>465</v>
      </c>
      <c r="H219" s="25">
        <v>1</v>
      </c>
      <c r="I219" s="33" t="str">
        <f t="shared" si="4"/>
        <v>#520 // Nueva Zelanda</v>
      </c>
      <c r="J219" s="25">
        <v>1</v>
      </c>
      <c r="K219" s="31">
        <v>500</v>
      </c>
      <c r="M219" s="23" t="str">
        <f>CONCATENATE(CI_!$P$1,E219,", '",F219,"', '",G219,"' , ",H219," , '",I219,"' , ",J219,",",K219)</f>
        <v>EXECUTE [dbo].[SUB_CI_COUNTRY] 0, 0, 0, 520, 'Nueva Zelanda', 'NVAZE' , 1 , '#520 // Nueva Zelanda' , 1,500</v>
      </c>
    </row>
    <row r="220" spans="2:13" x14ac:dyDescent="0.25">
      <c r="B220" s="20">
        <v>0</v>
      </c>
      <c r="C220" s="20">
        <v>0</v>
      </c>
      <c r="D220" s="20">
        <v>0</v>
      </c>
      <c r="E220" s="15">
        <v>522</v>
      </c>
      <c r="F220" s="9" t="s">
        <v>239</v>
      </c>
      <c r="G220" s="9" t="s">
        <v>466</v>
      </c>
      <c r="H220" s="25">
        <v>1</v>
      </c>
      <c r="I220" s="33" t="str">
        <f t="shared" si="4"/>
        <v>#522 // Isla Wake</v>
      </c>
      <c r="J220" s="25">
        <v>1</v>
      </c>
      <c r="K220" s="31">
        <v>500</v>
      </c>
      <c r="M220" s="23" t="str">
        <f>CONCATENATE(CI_!$P$1,E220,", '",F220,"', '",G220,"' , ",H220," , '",I220,"' , ",J220,",",K220)</f>
        <v>EXECUTE [dbo].[SUB_CI_COUNTRY] 0, 0, 0, 522, 'Isla Wake', 'IWAKE' , 1 , '#522 // Isla Wake' , 1,500</v>
      </c>
    </row>
    <row r="221" spans="2:13" x14ac:dyDescent="0.25">
      <c r="B221" s="20">
        <v>0</v>
      </c>
      <c r="C221" s="20">
        <v>0</v>
      </c>
      <c r="D221" s="20">
        <v>0</v>
      </c>
      <c r="E221" s="15">
        <v>523</v>
      </c>
      <c r="F221" s="9" t="s">
        <v>240</v>
      </c>
      <c r="G221" s="9" t="s">
        <v>467</v>
      </c>
      <c r="H221" s="25">
        <v>1</v>
      </c>
      <c r="I221" s="33" t="str">
        <f t="shared" si="4"/>
        <v>#523 // Estado Independiente de Papúa Nueva Guinea</v>
      </c>
      <c r="J221" s="25">
        <v>1</v>
      </c>
      <c r="K221" s="31">
        <v>500</v>
      </c>
      <c r="M221" s="23" t="str">
        <f>CONCATENATE(CI_!$P$1,E221,", '",F221,"', '",G221,"' , ",H221," , '",I221,"' , ",J221,",",K221)</f>
        <v>EXECUTE [dbo].[SUB_CI_COUNTRY] 0, 0, 0, 523, 'Estado Independiente de Papúa Nueva Guinea', 'NVAGU' , 1 , '#523 // Estado Independiente de Papúa Nueva Guinea' , 1,500</v>
      </c>
    </row>
    <row r="222" spans="2:13" x14ac:dyDescent="0.25">
      <c r="B222" s="20">
        <v>0</v>
      </c>
      <c r="C222" s="20">
        <v>0</v>
      </c>
      <c r="D222" s="20">
        <v>0</v>
      </c>
      <c r="E222" s="15">
        <v>524</v>
      </c>
      <c r="F222" s="9" t="s">
        <v>241</v>
      </c>
      <c r="G222" s="9" t="s">
        <v>468</v>
      </c>
      <c r="H222" s="25">
        <v>1</v>
      </c>
      <c r="I222" s="33" t="str">
        <f t="shared" si="4"/>
        <v>#524 // islas Pitcairn</v>
      </c>
      <c r="J222" s="25">
        <v>1</v>
      </c>
      <c r="K222" s="31">
        <v>500</v>
      </c>
      <c r="M222" s="23" t="str">
        <f>CONCATENATE(CI_!$P$1,E222,", '",F222,"', '",G222,"' , ",H222," , '",I222,"' , ",J222,",",K222)</f>
        <v>EXECUTE [dbo].[SUB_CI_COUNTRY] 0, 0, 0, 524, 'islas Pitcairn', 'IPITC' , 1 , '#524 // islas Pitcairn' , 1,500</v>
      </c>
    </row>
    <row r="223" spans="2:13" x14ac:dyDescent="0.25">
      <c r="B223" s="20">
        <v>0</v>
      </c>
      <c r="C223" s="20">
        <v>0</v>
      </c>
      <c r="D223" s="20">
        <v>0</v>
      </c>
      <c r="E223" s="15">
        <v>526</v>
      </c>
      <c r="F223" s="9" t="s">
        <v>242</v>
      </c>
      <c r="G223" s="9" t="s">
        <v>469</v>
      </c>
      <c r="H223" s="25">
        <v>1</v>
      </c>
      <c r="I223" s="33" t="str">
        <f t="shared" si="4"/>
        <v>#526 // Islas Salomón</v>
      </c>
      <c r="J223" s="25">
        <v>1</v>
      </c>
      <c r="K223" s="31">
        <v>500</v>
      </c>
      <c r="M223" s="23" t="str">
        <f>CONCATENATE(CI_!$P$1,E223,", '",F223,"', '",G223,"' , ",H223," , '",I223,"' , ",J223,",",K223)</f>
        <v>EXECUTE [dbo].[SUB_CI_COUNTRY] 0, 0, 0, 526, 'Islas Salomón', 'ISALO' , 1 , '#526 // Islas Salomón' , 1,500</v>
      </c>
    </row>
    <row r="224" spans="2:13" x14ac:dyDescent="0.25">
      <c r="B224" s="20">
        <v>0</v>
      </c>
      <c r="C224" s="20">
        <v>0</v>
      </c>
      <c r="D224" s="20">
        <v>0</v>
      </c>
      <c r="E224" s="15">
        <v>527</v>
      </c>
      <c r="F224" s="9" t="s">
        <v>243</v>
      </c>
      <c r="G224" s="9" t="s">
        <v>470</v>
      </c>
      <c r="H224" s="25">
        <v>1</v>
      </c>
      <c r="I224" s="33" t="str">
        <f t="shared" si="4"/>
        <v>#527 // Estado Independiente de Samoa</v>
      </c>
      <c r="J224" s="25">
        <v>1</v>
      </c>
      <c r="K224" s="31">
        <v>500</v>
      </c>
      <c r="M224" s="23" t="str">
        <f>CONCATENATE(CI_!$P$1,E224,", '",F224,"', '",G224,"' , ",H224," , '",I224,"' , ",J224,",",K224)</f>
        <v>EXECUTE [dbo].[SUB_CI_COUNTRY] 0, 0, 0, 527, 'Estado Independiente de Samoa', 'SAMOA' , 1 , '#527 // Estado Independiente de Samoa' , 1,500</v>
      </c>
    </row>
    <row r="225" spans="2:13" x14ac:dyDescent="0.25">
      <c r="B225" s="20">
        <v>0</v>
      </c>
      <c r="C225" s="20">
        <v>0</v>
      </c>
      <c r="D225" s="20">
        <v>0</v>
      </c>
      <c r="E225" s="15">
        <v>528</v>
      </c>
      <c r="F225" s="9" t="s">
        <v>244</v>
      </c>
      <c r="G225" s="9" t="s">
        <v>471</v>
      </c>
      <c r="H225" s="25">
        <v>1</v>
      </c>
      <c r="I225" s="33" t="str">
        <f t="shared" si="4"/>
        <v>#528 // Samoa Americana</v>
      </c>
      <c r="J225" s="25">
        <v>1</v>
      </c>
      <c r="K225" s="31">
        <v>500</v>
      </c>
      <c r="M225" s="23" t="str">
        <f>CONCATENATE(CI_!$P$1,E225,", '",F225,"', '",G225,"' , ",H225," , '",I225,"' , ",J225,",",K225)</f>
        <v>EXECUTE [dbo].[SUB_CI_COUNTRY] 0, 0, 0, 528, 'Samoa Americana', 'SAMAM' , 1 , '#528 // Samoa Americana' , 1,500</v>
      </c>
    </row>
    <row r="226" spans="2:13" x14ac:dyDescent="0.25">
      <c r="B226" s="20">
        <v>0</v>
      </c>
      <c r="C226" s="20">
        <v>0</v>
      </c>
      <c r="D226" s="20">
        <v>0</v>
      </c>
      <c r="E226" s="15">
        <v>530</v>
      </c>
      <c r="F226" s="9" t="s">
        <v>245</v>
      </c>
      <c r="G226" s="9" t="s">
        <v>472</v>
      </c>
      <c r="H226" s="25">
        <v>1</v>
      </c>
      <c r="I226" s="33" t="str">
        <f t="shared" si="4"/>
        <v>#530 // Tokelau</v>
      </c>
      <c r="J226" s="25">
        <v>1</v>
      </c>
      <c r="K226" s="31">
        <v>500</v>
      </c>
      <c r="M226" s="23" t="str">
        <f>CONCATENATE(CI_!$P$1,E226,", '",F226,"', '",G226,"' , ",H226," , '",I226,"' , ",J226,",",K226)</f>
        <v>EXECUTE [dbo].[SUB_CI_COUNTRY] 0, 0, 0, 530, 'Tokelau', 'TOKEL' , 1 , '#530 // Tokelau' , 1,500</v>
      </c>
    </row>
    <row r="227" spans="2:13" x14ac:dyDescent="0.25">
      <c r="B227" s="20">
        <v>0</v>
      </c>
      <c r="C227" s="20">
        <v>0</v>
      </c>
      <c r="D227" s="20">
        <v>0</v>
      </c>
      <c r="E227" s="15">
        <v>531</v>
      </c>
      <c r="F227" s="9" t="s">
        <v>246</v>
      </c>
      <c r="G227" s="9" t="s">
        <v>473</v>
      </c>
      <c r="H227" s="25">
        <v>1</v>
      </c>
      <c r="I227" s="33" t="str">
        <f t="shared" si="4"/>
        <v>#531 // Reino de Tonga</v>
      </c>
      <c r="J227" s="25">
        <v>1</v>
      </c>
      <c r="K227" s="31">
        <v>500</v>
      </c>
      <c r="M227" s="23" t="str">
        <f>CONCATENATE(CI_!$P$1,E227,", '",F227,"', '",G227,"' , ",H227," , '",I227,"' , ",J227,",",K227)</f>
        <v>EXECUTE [dbo].[SUB_CI_COUNTRY] 0, 0, 0, 531, 'Reino de Tonga', 'TONGA' , 1 , '#531 // Reino de Tonga' , 1,500</v>
      </c>
    </row>
    <row r="228" spans="2:13" x14ac:dyDescent="0.25">
      <c r="B228" s="20">
        <v>0</v>
      </c>
      <c r="C228" s="20">
        <v>0</v>
      </c>
      <c r="D228" s="20">
        <v>0</v>
      </c>
      <c r="E228" s="15">
        <v>532</v>
      </c>
      <c r="F228" s="9" t="s">
        <v>247</v>
      </c>
      <c r="G228" s="9" t="s">
        <v>474</v>
      </c>
      <c r="H228" s="25">
        <v>1</v>
      </c>
      <c r="I228" s="33" t="str">
        <f t="shared" si="4"/>
        <v>#532 // Tuvalu</v>
      </c>
      <c r="J228" s="25">
        <v>1</v>
      </c>
      <c r="K228" s="31">
        <v>500</v>
      </c>
      <c r="M228" s="23" t="str">
        <f>CONCATENATE(CI_!$P$1,E228,", '",F228,"', '",G228,"' , ",H228," , '",I228,"' , ",J228,",",K228)</f>
        <v>EXECUTE [dbo].[SUB_CI_COUNTRY] 0, 0, 0, 532, 'Tuvalu', 'TUVAL' , 1 , '#532 // Tuvalu' , 1,500</v>
      </c>
    </row>
    <row r="229" spans="2:13" x14ac:dyDescent="0.25">
      <c r="B229" s="20">
        <v>0</v>
      </c>
      <c r="C229" s="20">
        <v>0</v>
      </c>
      <c r="D229" s="20">
        <v>0</v>
      </c>
      <c r="E229" s="15">
        <v>533</v>
      </c>
      <c r="F229" s="9" t="s">
        <v>248</v>
      </c>
      <c r="G229" s="9" t="s">
        <v>475</v>
      </c>
      <c r="H229" s="25">
        <v>1</v>
      </c>
      <c r="I229" s="33" t="str">
        <f t="shared" si="4"/>
        <v>#533 // República de Vanuatu</v>
      </c>
      <c r="J229" s="25">
        <v>1</v>
      </c>
      <c r="K229" s="31">
        <v>500</v>
      </c>
      <c r="M229" s="23" t="str">
        <f>CONCATENATE(CI_!$P$1,E229,", '",F229,"', '",G229,"' , ",H229," , '",I229,"' , ",J229,",",K229)</f>
        <v>EXECUTE [dbo].[SUB_CI_COUNTRY] 0, 0, 0, 533, 'República de Vanuatu', 'VANUA' , 1 , '#533 // República de Vanuatu' , 1,500</v>
      </c>
    </row>
    <row r="230" spans="2:13" x14ac:dyDescent="0.25">
      <c r="B230" s="20">
        <v>0</v>
      </c>
      <c r="C230" s="20">
        <v>0</v>
      </c>
      <c r="D230" s="20">
        <v>0</v>
      </c>
      <c r="E230" s="15">
        <v>534</v>
      </c>
      <c r="F230" s="9" t="s">
        <v>249</v>
      </c>
      <c r="G230" s="9" t="s">
        <v>476</v>
      </c>
      <c r="H230" s="25">
        <v>1</v>
      </c>
      <c r="I230" s="33" t="str">
        <f t="shared" si="4"/>
        <v>#534 // Territorio de las Islas Walli</v>
      </c>
      <c r="J230" s="25">
        <v>1</v>
      </c>
      <c r="K230" s="31">
        <v>500</v>
      </c>
      <c r="M230" s="23" t="str">
        <f>CONCATENATE(CI_!$P$1,E230,", '",F230,"', '",G230,"' , ",H230," , '",I230,"' , ",J230,",",K230)</f>
        <v>EXECUTE [dbo].[SUB_CI_COUNTRY] 0, 0, 0, 534, 'Territorio de las Islas Walli', 'IWALL' , 1 , '#534 // Territorio de las Islas Walli' , 1,500</v>
      </c>
    </row>
    <row r="231" spans="2:13" x14ac:dyDescent="0.25">
      <c r="B231" s="20">
        <v>0</v>
      </c>
      <c r="C231" s="20">
        <v>0</v>
      </c>
      <c r="D231" s="20">
        <v>0</v>
      </c>
      <c r="E231" s="15">
        <v>535</v>
      </c>
      <c r="F231" s="9" t="s">
        <v>250</v>
      </c>
      <c r="G231" s="9" t="s">
        <v>477</v>
      </c>
      <c r="H231" s="25">
        <v>1</v>
      </c>
      <c r="I231" s="33" t="str">
        <f t="shared" si="4"/>
        <v>#535 // República de Las Islas Fiji</v>
      </c>
      <c r="J231" s="25">
        <v>1</v>
      </c>
      <c r="K231" s="31">
        <v>500</v>
      </c>
      <c r="M231" s="23" t="str">
        <f>CONCATENATE(CI_!$P$1,E231,", '",F231,"', '",G231,"' , ",H231," , '",I231,"' , ",J231,",",K231)</f>
        <v>EXECUTE [dbo].[SUB_CI_COUNTRY] 0, 0, 0, 535, 'República de Las Islas Fiji', 'IFIJI' , 1 , '#535 // República de Las Islas Fiji' , 1,500</v>
      </c>
    </row>
  </sheetData>
  <autoFilter ref="A1:P11">
    <sortState ref="A2:Q81">
      <sortCondition ref="F1:F11"/>
    </sortState>
  </autoFilter>
  <conditionalFormatting sqref="A1:J1 E56 E60 E64 E68 E72 E76 E86 E82 L1:XFD1">
    <cfRule type="beginsWith" dxfId="26" priority="50" operator="beginsWith" text="[K_">
      <formula>LEFT(A1,LEN("[K_"))="[K_"</formula>
    </cfRule>
  </conditionalFormatting>
  <conditionalFormatting sqref="K1">
    <cfRule type="beginsWith" dxfId="25" priority="39" operator="beginsWith" text="[K_">
      <formula>LEFT(K1,LEN("[K_"))="[K_"</formula>
    </cfRule>
  </conditionalFormatting>
  <conditionalFormatting sqref="E55 E59 E63 E67 E71 E75 E79 E85 E81">
    <cfRule type="beginsWith" dxfId="24" priority="38" operator="beginsWith" text="[K_">
      <formula>LEFT(E55,LEN("[K_"))="[K_"</formula>
    </cfRule>
  </conditionalFormatting>
  <conditionalFormatting sqref="E107:E173">
    <cfRule type="beginsWith" dxfId="23" priority="35" operator="beginsWith" text="[K_">
      <formula>LEFT(E107,LEN("[K_"))="[K_"</formula>
    </cfRule>
  </conditionalFormatting>
  <conditionalFormatting sqref="F107:F1048576 F1:F3 F54:F76">
    <cfRule type="duplicateValues" dxfId="22" priority="34"/>
  </conditionalFormatting>
  <conditionalFormatting sqref="E87:E106">
    <cfRule type="beginsWith" dxfId="21" priority="32" operator="beginsWith" text="[K_">
      <formula>LEFT(E87,LEN("[K_"))="[K_"</formula>
    </cfRule>
  </conditionalFormatting>
  <conditionalFormatting sqref="F87:F106">
    <cfRule type="duplicateValues" dxfId="20" priority="30"/>
  </conditionalFormatting>
  <conditionalFormatting sqref="F77:F79 F81:F86">
    <cfRule type="duplicateValues" dxfId="19" priority="79"/>
  </conditionalFormatting>
  <conditionalFormatting sqref="E1:E3 E81:E1048576 E54:E79 E7 E11 E15 E19 E23 E27 E31 E35 E39 E43 E47 E51">
    <cfRule type="duplicateValues" dxfId="18" priority="24"/>
  </conditionalFormatting>
  <conditionalFormatting sqref="F80">
    <cfRule type="duplicateValues" dxfId="17" priority="21"/>
  </conditionalFormatting>
  <conditionalFormatting sqref="E80">
    <cfRule type="duplicateValues" dxfId="16" priority="20"/>
  </conditionalFormatting>
  <conditionalFormatting sqref="E4 E8 E12 E16 E20 E24 E28 E32 E36 E40 E44 E48 E52">
    <cfRule type="duplicateValues" dxfId="15" priority="17"/>
  </conditionalFormatting>
  <conditionalFormatting sqref="E5:E6 E9:E10 E13:E14 E17:E18 E21:E22 E25:E26 E29:E30 E33:E34 E37:E38 E41:E42 E45:E46 E49:E50 E53">
    <cfRule type="duplicateValues" dxfId="14" priority="13"/>
  </conditionalFormatting>
  <conditionalFormatting sqref="H3:J3 B3:D3">
    <cfRule type="beginsWith" dxfId="13" priority="41" operator="beginsWith" text="[K_">
      <formula>LEFT(#REF!,LEN("[K_"))="[K_"</formula>
    </cfRule>
  </conditionalFormatting>
  <conditionalFormatting sqref="H4 B4:D4">
    <cfRule type="beginsWith" dxfId="12" priority="19" operator="beginsWith" text="[K_">
      <formula>LEFT(#REF!,LEN("[K_"))="[K_"</formula>
    </cfRule>
  </conditionalFormatting>
  <conditionalFormatting sqref="H5:H6 B5:D231">
    <cfRule type="beginsWith" dxfId="11" priority="15" operator="beginsWith" text="[K_">
      <formula>LEFT(#REF!,LEN("[K_"))="[K_"</formula>
    </cfRule>
  </conditionalFormatting>
  <conditionalFormatting sqref="H7:H231">
    <cfRule type="beginsWith" dxfId="10" priority="11" operator="beginsWith" text="[K_">
      <formula>LEFT(#REF!,LEN("[K_"))="[K_"</formula>
    </cfRule>
  </conditionalFormatting>
  <conditionalFormatting sqref="F7:F31">
    <cfRule type="beginsWith" dxfId="9" priority="6" operator="beginsWith" text="[K_">
      <formula>LEFT(#REF!,LEN("[K_"))="[K_"</formula>
    </cfRule>
  </conditionalFormatting>
  <conditionalFormatting sqref="F32:F37">
    <cfRule type="beginsWith" dxfId="8" priority="7" operator="beginsWith" text="[K_">
      <formula>LEFT(#REF!,LEN("[K_"))="[K_"</formula>
    </cfRule>
  </conditionalFormatting>
  <conditionalFormatting sqref="F41">
    <cfRule type="beginsWith" dxfId="7" priority="8" operator="beginsWith" text="[K_">
      <formula>LEFT(#REF!,LEN("[K_"))="[K_"</formula>
    </cfRule>
  </conditionalFormatting>
  <conditionalFormatting sqref="F38:F40">
    <cfRule type="beginsWith" dxfId="6" priority="9" operator="beginsWith" text="[K_">
      <formula>LEFT(#REF!,LEN("[K_"))="[K_"</formula>
    </cfRule>
  </conditionalFormatting>
  <conditionalFormatting sqref="F42:F53">
    <cfRule type="beginsWith" dxfId="5" priority="10" operator="beginsWith" text="[K_">
      <formula>LEFT(#REF!,LEN("[K_"))="[K_"</formula>
    </cfRule>
  </conditionalFormatting>
  <conditionalFormatting sqref="F4">
    <cfRule type="beginsWith" dxfId="4" priority="5" operator="beginsWith" text="[K_">
      <formula>LEFT(#REF!,LEN("[K_"))="[K_"</formula>
    </cfRule>
  </conditionalFormatting>
  <conditionalFormatting sqref="F5:F6">
    <cfRule type="beginsWith" dxfId="3" priority="4" operator="beginsWith" text="[K_">
      <formula>LEFT(#REF!,LEN("[K_"))="[K_"</formula>
    </cfRule>
  </conditionalFormatting>
  <conditionalFormatting sqref="I4:I231">
    <cfRule type="beginsWith" dxfId="2" priority="3" operator="beginsWith" text="[K_">
      <formula>LEFT(#REF!,LEN("[K_"))="[K_"</formula>
    </cfRule>
  </conditionalFormatting>
  <conditionalFormatting sqref="J4:J231">
    <cfRule type="beginsWith" dxfId="1" priority="2" operator="beginsWith" text="[K_">
      <formula>LEFT(#REF!,LEN("[K_"))="[K_"</formula>
    </cfRule>
  </conditionalFormatting>
  <conditionalFormatting sqref="G1:G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CI_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AX DE LA ROSA</cp:lastModifiedBy>
  <dcterms:created xsi:type="dcterms:W3CDTF">2018-09-05T16:16:25Z</dcterms:created>
  <dcterms:modified xsi:type="dcterms:W3CDTF">2019-09-11T16:03:27Z</dcterms:modified>
</cp:coreProperties>
</file>