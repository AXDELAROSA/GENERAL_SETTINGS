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jandrod\Documents\GitHub\GENERAL_SETTINGS\Scripts_R000_SYS_SETUP\Scripts_R010_Location_GEO\"/>
    </mc:Choice>
  </mc:AlternateContent>
  <xr:revisionPtr revIDLastSave="0" documentId="13_ncr:1_{FA43EAB8-2942-4CB2-B48D-4F0CB4EEEF08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TABLE" sheetId="2" r:id="rId1"/>
    <sheet name="CI_MEX" sheetId="1" r:id="rId2"/>
    <sheet name="CI_USA" sheetId="4" r:id="rId3"/>
    <sheet name="CI_CANADA" sheetId="5" r:id="rId4"/>
    <sheet name="CI_AUSTRALIA" sheetId="7" r:id="rId5"/>
    <sheet name="CI_TAILANDIA" sheetId="8" r:id="rId6"/>
    <sheet name="Hoja1" sheetId="3" r:id="rId7"/>
  </sheets>
  <definedNames>
    <definedName name="_xlnm._FilterDatabase" localSheetId="4" hidden="1">CI_AUSTRALIA!$A$1:$P$11</definedName>
    <definedName name="_xlnm._FilterDatabase" localSheetId="3" hidden="1">CI_CANADA!$A$1:$P$11</definedName>
    <definedName name="_xlnm._FilterDatabase" localSheetId="1" hidden="1">CI_MEX!$A$1:$P$11</definedName>
    <definedName name="_xlnm._FilterDatabase" localSheetId="5" hidden="1">CI_TAILANDIA!$A$1:$P$11</definedName>
    <definedName name="_xlnm._FilterDatabase" localSheetId="2" hidden="1">CI_USA!$A$1:$P$11</definedName>
    <definedName name="_xlnm._FilterDatabase" localSheetId="6" hidden="1">Hoja1!$B$2:$B$79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8" l="1"/>
  <c r="K5" i="8" s="1"/>
  <c r="K6" i="8" s="1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E4" i="8"/>
  <c r="I4" i="8" s="1"/>
  <c r="I3" i="8"/>
  <c r="M2" i="8"/>
  <c r="N1" i="8"/>
  <c r="P1" i="8" s="1"/>
  <c r="A17" i="7"/>
  <c r="A18" i="7" s="1"/>
  <c r="A16" i="7"/>
  <c r="E4" i="7"/>
  <c r="I4" i="7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I3" i="7"/>
  <c r="M2" i="7"/>
  <c r="N1" i="7"/>
  <c r="P1" i="7" s="1"/>
  <c r="E4" i="5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I15" i="5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I3" i="5"/>
  <c r="M2" i="5"/>
  <c r="N1" i="5"/>
  <c r="P1" i="5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E4" i="4"/>
  <c r="I4" i="4" s="1"/>
  <c r="I3" i="4"/>
  <c r="M2" i="4"/>
  <c r="N1" i="4"/>
  <c r="P1" i="4" s="1"/>
  <c r="A1" i="2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M4" i="8" l="1"/>
  <c r="E5" i="8"/>
  <c r="M3" i="8"/>
  <c r="E5" i="7"/>
  <c r="E6" i="7" s="1"/>
  <c r="I6" i="7" s="1"/>
  <c r="M6" i="7" s="1"/>
  <c r="M4" i="7"/>
  <c r="M3" i="7"/>
  <c r="I5" i="7"/>
  <c r="M5" i="7" s="1"/>
  <c r="I7" i="5"/>
  <c r="M7" i="5" s="1"/>
  <c r="I13" i="5"/>
  <c r="M13" i="5" s="1"/>
  <c r="I4" i="5"/>
  <c r="M4" i="5" s="1"/>
  <c r="I5" i="5"/>
  <c r="M5" i="5" s="1"/>
  <c r="I8" i="5"/>
  <c r="M8" i="5" s="1"/>
  <c r="I9" i="5"/>
  <c r="M9" i="5" s="1"/>
  <c r="I6" i="5"/>
  <c r="M6" i="5" s="1"/>
  <c r="I14" i="5"/>
  <c r="M14" i="5" s="1"/>
  <c r="I10" i="5"/>
  <c r="M10" i="5" s="1"/>
  <c r="I11" i="5"/>
  <c r="M11" i="5" s="1"/>
  <c r="M15" i="5"/>
  <c r="M3" i="5"/>
  <c r="I12" i="5"/>
  <c r="M12" i="5" s="1"/>
  <c r="E5" i="4"/>
  <c r="M3" i="4"/>
  <c r="M4" i="4"/>
  <c r="I4" i="1"/>
  <c r="I5" i="1"/>
  <c r="I6" i="1"/>
  <c r="I7" i="1"/>
  <c r="I8" i="1"/>
  <c r="I5" i="8" l="1"/>
  <c r="M5" i="8" s="1"/>
  <c r="E6" i="8"/>
  <c r="E7" i="7"/>
  <c r="I7" i="7" s="1"/>
  <c r="M7" i="7" s="1"/>
  <c r="E8" i="7"/>
  <c r="E6" i="4"/>
  <c r="I5" i="4"/>
  <c r="M5" i="4" s="1"/>
  <c r="I3" i="1"/>
  <c r="E7" i="8" l="1"/>
  <c r="I6" i="8"/>
  <c r="M6" i="8" s="1"/>
  <c r="E9" i="7"/>
  <c r="I8" i="7"/>
  <c r="M8" i="7" s="1"/>
  <c r="I6" i="4"/>
  <c r="M6" i="4" s="1"/>
  <c r="E7" i="4"/>
  <c r="M2" i="1"/>
  <c r="I7" i="8" l="1"/>
  <c r="M7" i="8" s="1"/>
  <c r="E8" i="8"/>
  <c r="E10" i="7"/>
  <c r="I9" i="7"/>
  <c r="M9" i="7" s="1"/>
  <c r="I7" i="4"/>
  <c r="M7" i="4" s="1"/>
  <c r="E8" i="4"/>
  <c r="N1" i="1"/>
  <c r="P1" i="1" s="1"/>
  <c r="E9" i="8" l="1"/>
  <c r="I8" i="8"/>
  <c r="M8" i="8" s="1"/>
  <c r="I10" i="7"/>
  <c r="M10" i="7" s="1"/>
  <c r="E11" i="7"/>
  <c r="E9" i="4"/>
  <c r="I8" i="4"/>
  <c r="M8" i="4" s="1"/>
  <c r="M35" i="1"/>
  <c r="M32" i="1"/>
  <c r="M29" i="1"/>
  <c r="M26" i="1"/>
  <c r="M23" i="1"/>
  <c r="M20" i="1"/>
  <c r="M17" i="1"/>
  <c r="M14" i="1"/>
  <c r="M11" i="1"/>
  <c r="M34" i="1"/>
  <c r="M31" i="1"/>
  <c r="M28" i="1"/>
  <c r="M25" i="1"/>
  <c r="M22" i="1"/>
  <c r="M19" i="1"/>
  <c r="M16" i="1"/>
  <c r="M13" i="1"/>
  <c r="M10" i="1"/>
  <c r="M33" i="1"/>
  <c r="M30" i="1"/>
  <c r="M27" i="1"/>
  <c r="M24" i="1"/>
  <c r="M21" i="1"/>
  <c r="M18" i="1"/>
  <c r="M15" i="1"/>
  <c r="M12" i="1"/>
  <c r="M9" i="1"/>
  <c r="M8" i="1"/>
  <c r="M7" i="1"/>
  <c r="M4" i="1"/>
  <c r="M3" i="1"/>
  <c r="M6" i="1"/>
  <c r="M5" i="1"/>
  <c r="I9" i="8" l="1"/>
  <c r="M9" i="8" s="1"/>
  <c r="E10" i="8"/>
  <c r="E12" i="7"/>
  <c r="I11" i="7"/>
  <c r="M11" i="7" s="1"/>
  <c r="I9" i="4"/>
  <c r="M9" i="4" s="1"/>
  <c r="E10" i="4"/>
  <c r="E11" i="8" l="1"/>
  <c r="I10" i="8"/>
  <c r="M10" i="8" s="1"/>
  <c r="I12" i="7"/>
  <c r="M12" i="7" s="1"/>
  <c r="E13" i="7"/>
  <c r="I10" i="4"/>
  <c r="M10" i="4" s="1"/>
  <c r="E11" i="4"/>
  <c r="I11" i="8" l="1"/>
  <c r="M11" i="8" s="1"/>
  <c r="E12" i="8"/>
  <c r="E14" i="7"/>
  <c r="I13" i="7"/>
  <c r="M13" i="7" s="1"/>
  <c r="I11" i="4"/>
  <c r="M11" i="4" s="1"/>
  <c r="E12" i="4"/>
  <c r="E13" i="8" l="1"/>
  <c r="I12" i="8"/>
  <c r="M12" i="8" s="1"/>
  <c r="E15" i="7"/>
  <c r="E16" i="7" s="1"/>
  <c r="I14" i="7"/>
  <c r="M14" i="7" s="1"/>
  <c r="E13" i="4"/>
  <c r="I12" i="4"/>
  <c r="M12" i="4" s="1"/>
  <c r="I13" i="8" l="1"/>
  <c r="M13" i="8" s="1"/>
  <c r="E14" i="8"/>
  <c r="E17" i="7"/>
  <c r="I16" i="7"/>
  <c r="M16" i="7" s="1"/>
  <c r="I15" i="7"/>
  <c r="M15" i="7" s="1"/>
  <c r="E14" i="4"/>
  <c r="I13" i="4"/>
  <c r="M13" i="4" s="1"/>
  <c r="E15" i="8" l="1"/>
  <c r="I14" i="8"/>
  <c r="M14" i="8" s="1"/>
  <c r="E18" i="7"/>
  <c r="I18" i="7" s="1"/>
  <c r="M18" i="7" s="1"/>
  <c r="I17" i="7"/>
  <c r="M17" i="7" s="1"/>
  <c r="E15" i="4"/>
  <c r="I14" i="4"/>
  <c r="M14" i="4" s="1"/>
  <c r="I15" i="8" l="1"/>
  <c r="M15" i="8" s="1"/>
  <c r="E16" i="8"/>
  <c r="E16" i="4"/>
  <c r="I15" i="4"/>
  <c r="M15" i="4" s="1"/>
  <c r="E17" i="8" l="1"/>
  <c r="I16" i="8"/>
  <c r="M16" i="8" s="1"/>
  <c r="E17" i="4"/>
  <c r="I16" i="4"/>
  <c r="M16" i="4" s="1"/>
  <c r="I17" i="8" l="1"/>
  <c r="M17" i="8" s="1"/>
  <c r="E18" i="8"/>
  <c r="E19" i="8" s="1"/>
  <c r="I17" i="4"/>
  <c r="M17" i="4" s="1"/>
  <c r="E18" i="4"/>
  <c r="E20" i="8" l="1"/>
  <c r="I19" i="8"/>
  <c r="M19" i="8" s="1"/>
  <c r="I18" i="8"/>
  <c r="M18" i="8" s="1"/>
  <c r="I18" i="4"/>
  <c r="M18" i="4" s="1"/>
  <c r="E19" i="4"/>
  <c r="I20" i="8" l="1"/>
  <c r="M20" i="8" s="1"/>
  <c r="E21" i="8"/>
  <c r="I19" i="4"/>
  <c r="M19" i="4" s="1"/>
  <c r="E20" i="4"/>
  <c r="E22" i="8" l="1"/>
  <c r="I21" i="8"/>
  <c r="M21" i="8" s="1"/>
  <c r="I20" i="4"/>
  <c r="M20" i="4" s="1"/>
  <c r="E21" i="4"/>
  <c r="I22" i="8" l="1"/>
  <c r="M22" i="8" s="1"/>
  <c r="E23" i="8"/>
  <c r="E22" i="4"/>
  <c r="I21" i="4"/>
  <c r="M21" i="4" s="1"/>
  <c r="E24" i="8" l="1"/>
  <c r="I23" i="8"/>
  <c r="M23" i="8" s="1"/>
  <c r="I22" i="4"/>
  <c r="M22" i="4" s="1"/>
  <c r="E23" i="4"/>
  <c r="E25" i="8" l="1"/>
  <c r="I24" i="8"/>
  <c r="M24" i="8" s="1"/>
  <c r="E24" i="4"/>
  <c r="I23" i="4"/>
  <c r="M23" i="4" s="1"/>
  <c r="E26" i="8" l="1"/>
  <c r="I25" i="8"/>
  <c r="M25" i="8" s="1"/>
  <c r="E25" i="4"/>
  <c r="I24" i="4"/>
  <c r="M24" i="4" s="1"/>
  <c r="E27" i="8" l="1"/>
  <c r="I26" i="8"/>
  <c r="M26" i="8" s="1"/>
  <c r="I25" i="4"/>
  <c r="M25" i="4" s="1"/>
  <c r="E26" i="4"/>
  <c r="I27" i="8" l="1"/>
  <c r="M27" i="8" s="1"/>
  <c r="E28" i="8"/>
  <c r="I26" i="4"/>
  <c r="M26" i="4" s="1"/>
  <c r="E27" i="4"/>
  <c r="I28" i="8" l="1"/>
  <c r="M28" i="8" s="1"/>
  <c r="E29" i="8"/>
  <c r="E28" i="4"/>
  <c r="I27" i="4"/>
  <c r="M27" i="4" s="1"/>
  <c r="I29" i="8" l="1"/>
  <c r="M29" i="8" s="1"/>
  <c r="E30" i="8"/>
  <c r="I28" i="4"/>
  <c r="M28" i="4" s="1"/>
  <c r="E29" i="4"/>
  <c r="I30" i="8" l="1"/>
  <c r="M30" i="8" s="1"/>
  <c r="E31" i="8"/>
  <c r="E30" i="4"/>
  <c r="I29" i="4"/>
  <c r="M29" i="4" s="1"/>
  <c r="E32" i="8" l="1"/>
  <c r="I31" i="8"/>
  <c r="M31" i="8" s="1"/>
  <c r="I30" i="4"/>
  <c r="M30" i="4" s="1"/>
  <c r="E31" i="4"/>
  <c r="E33" i="8" l="1"/>
  <c r="I32" i="8"/>
  <c r="M32" i="8" s="1"/>
  <c r="I31" i="4"/>
  <c r="M31" i="4" s="1"/>
  <c r="E32" i="4"/>
  <c r="E34" i="8" l="1"/>
  <c r="I33" i="8"/>
  <c r="M33" i="8" s="1"/>
  <c r="I32" i="4"/>
  <c r="M32" i="4" s="1"/>
  <c r="E33" i="4"/>
  <c r="E35" i="8" l="1"/>
  <c r="I34" i="8"/>
  <c r="M34" i="8" s="1"/>
  <c r="I33" i="4"/>
  <c r="M33" i="4" s="1"/>
  <c r="E34" i="4"/>
  <c r="E36" i="8" l="1"/>
  <c r="I35" i="8"/>
  <c r="M35" i="8" s="1"/>
  <c r="I34" i="4"/>
  <c r="M34" i="4" s="1"/>
  <c r="E35" i="4"/>
  <c r="E37" i="8" l="1"/>
  <c r="I36" i="8"/>
  <c r="M36" i="8" s="1"/>
  <c r="E36" i="4"/>
  <c r="I35" i="4"/>
  <c r="M35" i="4" s="1"/>
  <c r="I37" i="8" l="1"/>
  <c r="M37" i="8" s="1"/>
  <c r="E38" i="8"/>
  <c r="E37" i="4"/>
  <c r="I36" i="4"/>
  <c r="M36" i="4" s="1"/>
  <c r="I38" i="8" l="1"/>
  <c r="M38" i="8" s="1"/>
  <c r="E39" i="8"/>
  <c r="I37" i="4"/>
  <c r="M37" i="4" s="1"/>
  <c r="E38" i="4"/>
  <c r="I39" i="8" l="1"/>
  <c r="M39" i="8" s="1"/>
  <c r="E40" i="8"/>
  <c r="I38" i="4"/>
  <c r="M38" i="4" s="1"/>
  <c r="E39" i="4"/>
  <c r="I40" i="8" l="1"/>
  <c r="M40" i="8" s="1"/>
  <c r="E41" i="8"/>
  <c r="I39" i="4"/>
  <c r="M39" i="4" s="1"/>
  <c r="E40" i="4"/>
  <c r="I41" i="8" l="1"/>
  <c r="M41" i="8" s="1"/>
  <c r="E42" i="8"/>
  <c r="E41" i="4"/>
  <c r="I40" i="4"/>
  <c r="M40" i="4" s="1"/>
  <c r="E43" i="8" l="1"/>
  <c r="I42" i="8"/>
  <c r="M42" i="8" s="1"/>
  <c r="E42" i="4"/>
  <c r="I41" i="4"/>
  <c r="M41" i="4" s="1"/>
  <c r="E44" i="8" l="1"/>
  <c r="I43" i="8"/>
  <c r="M43" i="8" s="1"/>
  <c r="I42" i="4"/>
  <c r="M42" i="4" s="1"/>
  <c r="E43" i="4"/>
  <c r="I44" i="8" l="1"/>
  <c r="M44" i="8" s="1"/>
  <c r="E45" i="8"/>
  <c r="E44" i="4"/>
  <c r="I43" i="4"/>
  <c r="M43" i="4" s="1"/>
  <c r="I45" i="8" l="1"/>
  <c r="M45" i="8" s="1"/>
  <c r="E46" i="8"/>
  <c r="E45" i="4"/>
  <c r="I44" i="4"/>
  <c r="M44" i="4" s="1"/>
  <c r="I46" i="8" l="1"/>
  <c r="M46" i="8" s="1"/>
  <c r="E47" i="8"/>
  <c r="E46" i="4"/>
  <c r="I45" i="4"/>
  <c r="M45" i="4" s="1"/>
  <c r="E48" i="8" l="1"/>
  <c r="I47" i="8"/>
  <c r="M47" i="8" s="1"/>
  <c r="E47" i="4"/>
  <c r="I46" i="4"/>
  <c r="M46" i="4" s="1"/>
  <c r="E49" i="8" l="1"/>
  <c r="I48" i="8"/>
  <c r="M48" i="8" s="1"/>
  <c r="I47" i="4"/>
  <c r="M47" i="4" s="1"/>
  <c r="E48" i="4"/>
  <c r="E50" i="8" l="1"/>
  <c r="I49" i="8"/>
  <c r="M49" i="8" s="1"/>
  <c r="E49" i="4"/>
  <c r="I48" i="4"/>
  <c r="M48" i="4" s="1"/>
  <c r="I50" i="8" l="1"/>
  <c r="M50" i="8" s="1"/>
  <c r="E51" i="8"/>
  <c r="E50" i="4"/>
  <c r="I49" i="4"/>
  <c r="M49" i="4" s="1"/>
  <c r="E52" i="8" l="1"/>
  <c r="I51" i="8"/>
  <c r="M51" i="8" s="1"/>
  <c r="E51" i="4"/>
  <c r="I50" i="4"/>
  <c r="M50" i="4" s="1"/>
  <c r="E53" i="8" l="1"/>
  <c r="I52" i="8"/>
  <c r="M52" i="8" s="1"/>
  <c r="E52" i="4"/>
  <c r="I52" i="4" s="1"/>
  <c r="M52" i="4" s="1"/>
  <c r="I51" i="4"/>
  <c r="M51" i="4" s="1"/>
  <c r="E54" i="8" l="1"/>
  <c r="I53" i="8"/>
  <c r="M53" i="8" s="1"/>
  <c r="E55" i="8" l="1"/>
  <c r="I54" i="8"/>
  <c r="M54" i="8" s="1"/>
  <c r="E56" i="8" l="1"/>
  <c r="I55" i="8"/>
  <c r="M55" i="8" s="1"/>
  <c r="E57" i="8" l="1"/>
  <c r="I56" i="8"/>
  <c r="M56" i="8" s="1"/>
  <c r="E58" i="8" l="1"/>
  <c r="I57" i="8"/>
  <c r="M57" i="8" s="1"/>
  <c r="E59" i="8" l="1"/>
  <c r="I58" i="8"/>
  <c r="M58" i="8" s="1"/>
  <c r="E60" i="8" l="1"/>
  <c r="I59" i="8"/>
  <c r="M59" i="8" s="1"/>
  <c r="E61" i="8" l="1"/>
  <c r="I60" i="8"/>
  <c r="M60" i="8" s="1"/>
  <c r="E62" i="8" l="1"/>
  <c r="I61" i="8"/>
  <c r="M61" i="8" s="1"/>
  <c r="E63" i="8" l="1"/>
  <c r="I62" i="8"/>
  <c r="M62" i="8" s="1"/>
  <c r="E64" i="8" l="1"/>
  <c r="I63" i="8"/>
  <c r="M63" i="8" s="1"/>
  <c r="E65" i="8" l="1"/>
  <c r="I64" i="8"/>
  <c r="M64" i="8" s="1"/>
  <c r="E66" i="8" l="1"/>
  <c r="I65" i="8"/>
  <c r="M65" i="8" s="1"/>
  <c r="E67" i="8" l="1"/>
  <c r="I66" i="8"/>
  <c r="M66" i="8" s="1"/>
  <c r="E68" i="8" l="1"/>
  <c r="I67" i="8"/>
  <c r="M67" i="8" s="1"/>
  <c r="E69" i="8" l="1"/>
  <c r="I68" i="8"/>
  <c r="M68" i="8" s="1"/>
  <c r="I69" i="8" l="1"/>
  <c r="M69" i="8" s="1"/>
  <c r="E70" i="8"/>
  <c r="E71" i="8" l="1"/>
  <c r="I70" i="8"/>
  <c r="M70" i="8" s="1"/>
  <c r="E72" i="8" l="1"/>
  <c r="I71" i="8"/>
  <c r="M71" i="8" s="1"/>
  <c r="E73" i="8" l="1"/>
  <c r="I72" i="8"/>
  <c r="M72" i="8" s="1"/>
  <c r="I73" i="8" l="1"/>
  <c r="M73" i="8" s="1"/>
  <c r="E74" i="8"/>
  <c r="I74" i="8" l="1"/>
  <c r="M74" i="8" s="1"/>
  <c r="E75" i="8"/>
  <c r="E76" i="8" l="1"/>
  <c r="I75" i="8"/>
  <c r="M75" i="8" s="1"/>
  <c r="I76" i="8" l="1"/>
  <c r="M76" i="8" s="1"/>
  <c r="E77" i="8"/>
  <c r="E78" i="8" l="1"/>
  <c r="I77" i="8"/>
  <c r="M77" i="8" s="1"/>
  <c r="E79" i="8" l="1"/>
  <c r="I79" i="8" s="1"/>
  <c r="M79" i="8" s="1"/>
  <c r="I78" i="8"/>
  <c r="M78" i="8" s="1"/>
</calcChain>
</file>

<file path=xl/sharedStrings.xml><?xml version="1.0" encoding="utf-8"?>
<sst xmlns="http://schemas.openxmlformats.org/spreadsheetml/2006/main" count="598" uniqueCount="324">
  <si>
    <t>L_DEBUG</t>
  </si>
  <si>
    <t>K_SISTEMA_EXE</t>
  </si>
  <si>
    <t>K_USUARIO_ACCION</t>
  </si>
  <si>
    <t>X</t>
  </si>
  <si>
    <t>Tipo Dato</t>
  </si>
  <si>
    <t>PK</t>
  </si>
  <si>
    <t xml:space="preserve">] </t>
  </si>
  <si>
    <t>-</t>
  </si>
  <si>
    <t>???</t>
  </si>
  <si>
    <t>EXECUTE [dbo].[</t>
  </si>
  <si>
    <t>[INT]</t>
  </si>
  <si>
    <t>Nombre Campo</t>
  </si>
  <si>
    <t xml:space="preserve">[VARCHAR] (100) </t>
  </si>
  <si>
    <t>[VARCHAR] (10)</t>
  </si>
  <si>
    <t xml:space="preserve">[VARCHAR] (255)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</si>
  <si>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</si>
  <si>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</si>
  <si>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</si>
  <si>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</si>
  <si>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</si>
  <si>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</si>
  <si>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</si>
  <si>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</si>
  <si>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</si>
  <si>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</si>
  <si>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</si>
  <si>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</si>
  <si>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</si>
  <si>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</si>
  <si>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</si>
  <si>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</si>
  <si>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</si>
  <si>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</si>
  <si>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</si>
  <si>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</si>
  <si>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</si>
  <si>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</si>
  <si>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</si>
  <si>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</si>
  <si>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</si>
  <si>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</si>
  <si>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</si>
  <si>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</si>
  <si>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</si>
  <si>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</t>
  </si>
  <si>
    <t>Yucatán</t>
  </si>
  <si>
    <t>Zacatecas</t>
  </si>
  <si>
    <t>(NO-STATE-GEO)</t>
  </si>
  <si>
    <t>( N/ST )</t>
  </si>
  <si>
    <t>BCali</t>
  </si>
  <si>
    <t>BCSur</t>
  </si>
  <si>
    <t>SLuis</t>
  </si>
  <si>
    <t>Aguas</t>
  </si>
  <si>
    <t>Campe</t>
  </si>
  <si>
    <t>Coahu</t>
  </si>
  <si>
    <t>Colim</t>
  </si>
  <si>
    <t>Chiap</t>
  </si>
  <si>
    <t>Chihu</t>
  </si>
  <si>
    <t>Distr</t>
  </si>
  <si>
    <t>Duran</t>
  </si>
  <si>
    <t>Guana</t>
  </si>
  <si>
    <t>Guerr</t>
  </si>
  <si>
    <t>Hidal</t>
  </si>
  <si>
    <t>Jalis</t>
  </si>
  <si>
    <t>Méxic</t>
  </si>
  <si>
    <t>Micho</t>
  </si>
  <si>
    <t>Morel</t>
  </si>
  <si>
    <t>Nayar</t>
  </si>
  <si>
    <t>Nuevo</t>
  </si>
  <si>
    <t>Oaxac</t>
  </si>
  <si>
    <t>Puebl</t>
  </si>
  <si>
    <t>Queré</t>
  </si>
  <si>
    <t>Quint</t>
  </si>
  <si>
    <t>Sinal</t>
  </si>
  <si>
    <t>Sonor</t>
  </si>
  <si>
    <t>Tabas</t>
  </si>
  <si>
    <t>Tamau</t>
  </si>
  <si>
    <t>Tlaxc</t>
  </si>
  <si>
    <t>Verac</t>
  </si>
  <si>
    <t>Yucat</t>
  </si>
  <si>
    <t>Zacat</t>
  </si>
  <si>
    <t>[K_COUNTRY]</t>
  </si>
  <si>
    <t>[K_STATE_GEO]</t>
  </si>
  <si>
    <t>[D_STATE_GEO]</t>
  </si>
  <si>
    <t>[S_STATE_GEO]</t>
  </si>
  <si>
    <t>[O_STATE_GEO]</t>
  </si>
  <si>
    <t>[C_STATE_GEO]</t>
  </si>
  <si>
    <t>[L_STATE_GEO]</t>
  </si>
  <si>
    <t>Alabama, Alaska, Arizona, Arkansas, California, Colorado, Connecticut, Delaware, Florida, Georgia, Hawaii, Idaho, Illinois, Indiana, Iowa, Kansas, Kentucky, Louisiana, Maine, Maryland, Massachusetts, Michigan, Minnesota, Mississippi, Missouri, Montana, Nebraska, Nevada, New Hampshire, New Jersey, New Mexico, New York, North Carolina, North Dakota, Ohio, Oklahoma, Oregon, Pennsylvania, Rhode Island, South Carolina, South Dako-</t>
  </si>
  <si>
    <t>Wyoming</t>
  </si>
  <si>
    <t xml:space="preserve">Alabama </t>
  </si>
  <si>
    <t xml:space="preserve">Alaska </t>
  </si>
  <si>
    <t xml:space="preserve">Arizona </t>
  </si>
  <si>
    <t xml:space="preserve">Arkansas </t>
  </si>
  <si>
    <t xml:space="preserve">California </t>
  </si>
  <si>
    <t>Colorado</t>
  </si>
  <si>
    <t xml:space="preserve">Connecticut </t>
  </si>
  <si>
    <t xml:space="preserve">Delaware </t>
  </si>
  <si>
    <t xml:space="preserve">Florida </t>
  </si>
  <si>
    <t xml:space="preserve">Georgia </t>
  </si>
  <si>
    <t xml:space="preserve">Hawaii </t>
  </si>
  <si>
    <t xml:space="preserve">Idaho </t>
  </si>
  <si>
    <t xml:space="preserve">Illinois </t>
  </si>
  <si>
    <t xml:space="preserve">Indiana </t>
  </si>
  <si>
    <t>Iowa</t>
  </si>
  <si>
    <t xml:space="preserve">Kansas </t>
  </si>
  <si>
    <t xml:space="preserve">Kentucky </t>
  </si>
  <si>
    <t xml:space="preserve">Louisiana </t>
  </si>
  <si>
    <t xml:space="preserve">Maine </t>
  </si>
  <si>
    <t xml:space="preserve">Maryland </t>
  </si>
  <si>
    <t xml:space="preserve">Massachusetts </t>
  </si>
  <si>
    <t>Michigan</t>
  </si>
  <si>
    <t xml:space="preserve">Minnesota </t>
  </si>
  <si>
    <t xml:space="preserve">Mississippi </t>
  </si>
  <si>
    <t xml:space="preserve">Missouri </t>
  </si>
  <si>
    <t xml:space="preserve">Montana </t>
  </si>
  <si>
    <t xml:space="preserve">Nebraska </t>
  </si>
  <si>
    <t xml:space="preserve">Nevada </t>
  </si>
  <si>
    <t xml:space="preserve">New Hampshire </t>
  </si>
  <si>
    <t xml:space="preserve">New Jersey </t>
  </si>
  <si>
    <t xml:space="preserve">New Mexico </t>
  </si>
  <si>
    <t xml:space="preserve">New York </t>
  </si>
  <si>
    <t xml:space="preserve">North Carolina </t>
  </si>
  <si>
    <t xml:space="preserve">North Dakota </t>
  </si>
  <si>
    <t>Ohio</t>
  </si>
  <si>
    <t xml:space="preserve">Oklahoma </t>
  </si>
  <si>
    <t xml:space="preserve">Oregon </t>
  </si>
  <si>
    <t xml:space="preserve">Pennsylvania </t>
  </si>
  <si>
    <t xml:space="preserve">Rhode Island </t>
  </si>
  <si>
    <t xml:space="preserve">South Carolina </t>
  </si>
  <si>
    <t xml:space="preserve">South Dakota </t>
  </si>
  <si>
    <t xml:space="preserve">Tennessee </t>
  </si>
  <si>
    <t xml:space="preserve">Texas </t>
  </si>
  <si>
    <t xml:space="preserve">Utah </t>
  </si>
  <si>
    <t xml:space="preserve">Vermont </t>
  </si>
  <si>
    <t xml:space="preserve">Virginia </t>
  </si>
  <si>
    <t xml:space="preserve">Washington </t>
  </si>
  <si>
    <t xml:space="preserve">West Virginia </t>
  </si>
  <si>
    <t xml:space="preserve">Wisconsin </t>
  </si>
  <si>
    <t>AL</t>
  </si>
  <si>
    <t>AK</t>
  </si>
  <si>
    <t>AZ</t>
  </si>
  <si>
    <t>AR</t>
  </si>
  <si>
    <t>CA</t>
  </si>
  <si>
    <t>CT</t>
  </si>
  <si>
    <t>CO</t>
  </si>
  <si>
    <t>DE</t>
  </si>
  <si>
    <t>DL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</si>
  <si>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</si>
  <si>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</si>
  <si>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</si>
  <si>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</si>
  <si>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</si>
  <si>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</si>
  <si>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</si>
  <si>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</si>
  <si>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</si>
  <si>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</si>
  <si>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</si>
  <si>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</si>
  <si>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</si>
  <si>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</si>
  <si>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</si>
  <si>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</si>
  <si>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</si>
  <si>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</si>
  <si>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</si>
  <si>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</si>
  <si>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</si>
  <si>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</si>
  <si>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</si>
  <si>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</si>
  <si>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</si>
  <si>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</si>
  <si>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</si>
  <si>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</si>
  <si>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</si>
  <si>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</si>
  <si>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</si>
  <si>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</si>
  <si>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</si>
  <si>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</si>
  <si>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</si>
  <si>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</si>
  <si>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</si>
  <si>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</si>
  <si>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</si>
  <si>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</si>
  <si>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</si>
  <si>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ON</t>
  </si>
  <si>
    <t>QC</t>
  </si>
  <si>
    <t>NS</t>
  </si>
  <si>
    <t>NB</t>
  </si>
  <si>
    <t>MB</t>
  </si>
  <si>
    <t>NT</t>
  </si>
  <si>
    <t>BC</t>
  </si>
  <si>
    <t>Victoria</t>
  </si>
  <si>
    <t>PE</t>
  </si>
  <si>
    <t>YT</t>
  </si>
  <si>
    <t>SK</t>
  </si>
  <si>
    <t>AB</t>
  </si>
  <si>
    <t>NL</t>
  </si>
  <si>
    <t>NU</t>
  </si>
  <si>
    <t>Quebec</t>
  </si>
  <si>
    <t>Nueva Escocia</t>
  </si>
  <si>
    <t>Nuevo Brunswick</t>
  </si>
  <si>
    <t>Manitoba</t>
  </si>
  <si>
    <t>Territorios del Noroeste</t>
  </si>
  <si>
    <t>Columbia Británica</t>
  </si>
  <si>
    <t>Isla del Príncipe Eduardo</t>
  </si>
  <si>
    <t>Yukón</t>
  </si>
  <si>
    <t>Saskatchewan</t>
  </si>
  <si>
    <t>Alberta</t>
  </si>
  <si>
    <t>Terranova y Labrador</t>
  </si>
  <si>
    <t>Nunavut</t>
  </si>
  <si>
    <t>Ontario</t>
  </si>
  <si>
    <t>Chiang Mai</t>
  </si>
  <si>
    <t>Chiang Rai</t>
  </si>
  <si>
    <t>Kamphaeng Phet</t>
  </si>
  <si>
    <t>Lampang</t>
  </si>
  <si>
    <t>Lamphun</t>
  </si>
  <si>
    <t>Mae Hong Son</t>
  </si>
  <si>
    <t>Nakhon Sawan</t>
  </si>
  <si>
    <t>Nan</t>
  </si>
  <si>
    <t>Phayao</t>
  </si>
  <si>
    <t>Phetchabun</t>
  </si>
  <si>
    <t>Phichit</t>
  </si>
  <si>
    <t>Phitsanulok</t>
  </si>
  <si>
    <t>Phrae</t>
  </si>
  <si>
    <t>Sukhothai</t>
  </si>
  <si>
    <t>Tak</t>
  </si>
  <si>
    <t>Uthai Thani</t>
  </si>
  <si>
    <t>Uttaradit</t>
  </si>
  <si>
    <t>Amnat Charoen</t>
  </si>
  <si>
    <t>Buri Ram</t>
  </si>
  <si>
    <t>Chaiyaphum</t>
  </si>
  <si>
    <t>Kalasin</t>
  </si>
  <si>
    <t>Khon Kaen</t>
  </si>
  <si>
    <t>Loei</t>
  </si>
  <si>
    <t>Maha Sarakham</t>
  </si>
  <si>
    <t>Mukdahan</t>
  </si>
  <si>
    <t>Nakhon Phanom</t>
  </si>
  <si>
    <t>Nakhon Ratchasima</t>
  </si>
  <si>
    <t>Nong Bua Lam Phu</t>
  </si>
  <si>
    <t>Nong Khai</t>
  </si>
  <si>
    <t>Roi Et</t>
  </si>
  <si>
    <t>Sakon Nakhon</t>
  </si>
  <si>
    <t>Si Sa Ket</t>
  </si>
  <si>
    <t>Surin</t>
  </si>
  <si>
    <t>Ubon Ratchathani</t>
  </si>
  <si>
    <t>Udon Thani</t>
  </si>
  <si>
    <t>Yasothon</t>
  </si>
  <si>
    <t>Bueng Kan</t>
  </si>
  <si>
    <t>Ang Thong</t>
  </si>
  <si>
    <t>Phra Nakhon Si Ayutthaya</t>
  </si>
  <si>
    <t>Bangkok</t>
  </si>
  <si>
    <t>Chainat</t>
  </si>
  <si>
    <t>Kanchanaburi</t>
  </si>
  <si>
    <t>Lop Buri</t>
  </si>
  <si>
    <t>Nakhon Nayok</t>
  </si>
  <si>
    <t>Nakhon Pathom</t>
  </si>
  <si>
    <t>Nonthaburi</t>
  </si>
  <si>
    <t>Pathum Thani</t>
  </si>
  <si>
    <t>Phetchaburi</t>
  </si>
  <si>
    <t>Prachuap Khiri Khan</t>
  </si>
  <si>
    <t>Ratchaburi</t>
  </si>
  <si>
    <t>Samut Prakan</t>
  </si>
  <si>
    <t>Samut Sakhon</t>
  </si>
  <si>
    <t>Samut Songkhram</t>
  </si>
  <si>
    <t>Saraburi</t>
  </si>
  <si>
    <t>Sing Buri</t>
  </si>
  <si>
    <t>Suphan Buri</t>
  </si>
  <si>
    <t>Chachoengsao</t>
  </si>
  <si>
    <t>Chanthaburi</t>
  </si>
  <si>
    <t>Chon Buri</t>
  </si>
  <si>
    <t>Prachin Buri</t>
  </si>
  <si>
    <t>Rayong</t>
  </si>
  <si>
    <t>Sa Kaeo</t>
  </si>
  <si>
    <t>Trat</t>
  </si>
  <si>
    <t>Chumphon</t>
  </si>
  <si>
    <t>Krabi</t>
  </si>
  <si>
    <t>Nakhon Si Thammarat</t>
  </si>
  <si>
    <t>Narathiwat</t>
  </si>
  <si>
    <t>Pattani</t>
  </si>
  <si>
    <t>Phang Nga</t>
  </si>
  <si>
    <t>Phatthalung</t>
  </si>
  <si>
    <t>Phuket</t>
  </si>
  <si>
    <t>Ranong</t>
  </si>
  <si>
    <t>Satun</t>
  </si>
  <si>
    <t>Songkhla</t>
  </si>
  <si>
    <t>Surat Thani</t>
  </si>
  <si>
    <t>Trang</t>
  </si>
  <si>
    <t>Yala</t>
  </si>
  <si>
    <t>Islas Ashmore y Cartier</t>
  </si>
  <si>
    <t>Territorio Antártico Australiano</t>
  </si>
  <si>
    <t>Territorio de la Capital Australiana</t>
  </si>
  <si>
    <t>AU-ACT</t>
  </si>
  <si>
    <t>Isla de Navidad</t>
  </si>
  <si>
    <t>CX</t>
  </si>
  <si>
    <t>Islas Cocos</t>
  </si>
  <si>
    <t>CC</t>
  </si>
  <si>
    <t>Islas del Mar del Coral</t>
  </si>
  <si>
    <t>Islas Heard y McDonald</t>
  </si>
  <si>
    <t>HM</t>
  </si>
  <si>
    <t>Territorio de la Bahía de Jervis</t>
  </si>
  <si>
    <t>JBT</t>
  </si>
  <si>
    <t>Nueva Gales del Sur</t>
  </si>
  <si>
    <t>AU-NSW</t>
  </si>
  <si>
    <t>Isla Norfolk</t>
  </si>
  <si>
    <t>NF</t>
  </si>
  <si>
    <t>Territorio del Norte</t>
  </si>
  <si>
    <t>AU-NT</t>
  </si>
  <si>
    <t>Queensland</t>
  </si>
  <si>
    <t>AU-QLD</t>
  </si>
  <si>
    <t>Australia Meridional</t>
  </si>
  <si>
    <t>AU-SA</t>
  </si>
  <si>
    <t>Tasmania</t>
  </si>
  <si>
    <t>AU-TAS</t>
  </si>
  <si>
    <t>AU-VIC</t>
  </si>
  <si>
    <t>Australia Occidental</t>
  </si>
  <si>
    <t>AU-WA</t>
  </si>
  <si>
    <t>AQ</t>
  </si>
  <si>
    <t>ISMAC</t>
  </si>
  <si>
    <t>ISASC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</si>
</sst>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00"/>
  </numFmts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i/>
      <sz val="9"/>
      <color rgb="FF00B05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7" fillId="0" borderId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2" borderId="0" xfId="0" applyFill="1"/>
    <xf numFmtId="0" fontId="6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9" fillId="0" borderId="0" xfId="0" applyFont="1" applyAlignment="1">
      <alignment horizontal="center"/>
    </xf>
    <xf numFmtId="0" fontId="2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quotePrefix="1" applyFont="1" applyFill="1" applyAlignment="1">
      <alignment horizontal="left" vertical="center"/>
    </xf>
    <xf numFmtId="0" fontId="4" fillId="0" borderId="0" xfId="0" quotePrefix="1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0" xfId="0" quotePrefix="1" applyFont="1" applyFill="1" applyAlignment="1">
      <alignment horizontal="center" vertical="center"/>
    </xf>
    <xf numFmtId="0" fontId="0" fillId="0" borderId="0" xfId="0" applyFont="1" applyAlignment="1">
      <alignment horizontal="left"/>
    </xf>
    <xf numFmtId="166" fontId="2" fillId="0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8">
    <cellStyle name="Comma 2" xfId="2" xr:uid="{00000000-0005-0000-0000-000000000000}"/>
    <cellStyle name="Millares 2" xfId="3" xr:uid="{00000000-0005-0000-0000-000001000000}"/>
    <cellStyle name="Millares 3" xfId="4" xr:uid="{00000000-0005-0000-0000-000002000000}"/>
    <cellStyle name="Millares 4" xfId="5" xr:uid="{00000000-0005-0000-0000-000003000000}"/>
    <cellStyle name="Moneda 2" xfId="6" xr:uid="{00000000-0005-0000-0000-000004000000}"/>
    <cellStyle name="Normal" xfId="0" builtinId="0"/>
    <cellStyle name="Normal 2" xfId="7" xr:uid="{00000000-0005-0000-0000-000006000000}"/>
    <cellStyle name="Normal 3" xfId="1" xr:uid="{00000000-0005-0000-0000-000007000000}"/>
  </cellStyles>
  <dxfs count="163"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28"/>
  <sheetViews>
    <sheetView workbookViewId="0">
      <selection activeCell="B18" sqref="B18:H18"/>
    </sheetView>
  </sheetViews>
  <sheetFormatPr baseColWidth="10" defaultColWidth="11.42578125" defaultRowHeight="15" x14ac:dyDescent="0.25"/>
  <cols>
    <col min="1" max="1" width="20.85546875" style="3" customWidth="1"/>
    <col min="2" max="2" width="37.5703125" bestFit="1" customWidth="1"/>
    <col min="3" max="3" width="25.85546875" style="29" bestFit="1" customWidth="1"/>
  </cols>
  <sheetData>
    <row r="1" spans="1:4" x14ac:dyDescent="0.25">
      <c r="A1" s="16" t="str">
        <f>(CONCATENATE("PG_CI_",(MID(B4,4,LEN(B4)-4))))</f>
        <v>PG_CI_STATE_GEO</v>
      </c>
      <c r="B1" s="5"/>
      <c r="C1" s="28"/>
      <c r="D1" s="5"/>
    </row>
    <row r="3" spans="1:4" x14ac:dyDescent="0.25">
      <c r="A3" s="4" t="s">
        <v>5</v>
      </c>
      <c r="B3" t="s">
        <v>11</v>
      </c>
      <c r="C3" s="30" t="s">
        <v>4</v>
      </c>
    </row>
    <row r="4" spans="1:4" x14ac:dyDescent="0.25">
      <c r="A4" s="3" t="s">
        <v>3</v>
      </c>
      <c r="B4" t="s">
        <v>82</v>
      </c>
      <c r="C4" s="29" t="s">
        <v>10</v>
      </c>
    </row>
    <row r="5" spans="1:4" x14ac:dyDescent="0.25">
      <c r="B5" t="s">
        <v>83</v>
      </c>
      <c r="C5" s="29" t="s">
        <v>12</v>
      </c>
    </row>
    <row r="6" spans="1:4" x14ac:dyDescent="0.25">
      <c r="B6" t="s">
        <v>84</v>
      </c>
      <c r="C6" s="29" t="s">
        <v>13</v>
      </c>
    </row>
    <row r="7" spans="1:4" x14ac:dyDescent="0.25">
      <c r="B7" t="s">
        <v>85</v>
      </c>
      <c r="C7" s="29" t="s">
        <v>10</v>
      </c>
    </row>
    <row r="8" spans="1:4" x14ac:dyDescent="0.25">
      <c r="B8" t="s">
        <v>86</v>
      </c>
      <c r="C8" s="29" t="s">
        <v>14</v>
      </c>
    </row>
    <row r="9" spans="1:4" x14ac:dyDescent="0.25">
      <c r="B9" t="s">
        <v>87</v>
      </c>
      <c r="C9" s="29" t="s">
        <v>10</v>
      </c>
    </row>
    <row r="10" spans="1:4" x14ac:dyDescent="0.25">
      <c r="B10" t="s">
        <v>81</v>
      </c>
      <c r="C10" s="3" t="s">
        <v>10</v>
      </c>
    </row>
    <row r="13" spans="1:4" x14ac:dyDescent="0.25">
      <c r="C13"/>
    </row>
    <row r="18" spans="2:8" x14ac:dyDescent="0.25">
      <c r="B18" t="s">
        <v>82</v>
      </c>
      <c r="C18" t="s">
        <v>83</v>
      </c>
      <c r="D18" t="s">
        <v>84</v>
      </c>
      <c r="E18" t="s">
        <v>85</v>
      </c>
      <c r="F18" t="s">
        <v>86</v>
      </c>
      <c r="G18" t="s">
        <v>87</v>
      </c>
      <c r="H18" t="s">
        <v>81</v>
      </c>
    </row>
    <row r="28" spans="2:8" x14ac:dyDescent="0.25">
      <c r="C2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173"/>
  <sheetViews>
    <sheetView tabSelected="1" zoomScale="130" zoomScaleNormal="130" workbookViewId="0">
      <selection activeCell="E4" sqref="E4"/>
    </sheetView>
  </sheetViews>
  <sheetFormatPr baseColWidth="10" defaultColWidth="11.42578125" defaultRowHeight="15" x14ac:dyDescent="0.25"/>
  <cols>
    <col min="1" max="1" width="3.28515625" style="13" customWidth="1"/>
    <col min="2" max="4" width="4.140625" customWidth="1"/>
    <col min="5" max="5" width="17.5703125" style="15" bestFit="1" customWidth="1"/>
    <col min="6" max="6" width="43.28515625" style="9" bestFit="1" customWidth="1"/>
    <col min="7" max="7" width="28.140625" style="9" customWidth="1"/>
    <col min="8" max="8" width="16.28515625" style="26" customWidth="1"/>
    <col min="9" max="9" width="38.42578125" style="34" customWidth="1"/>
    <col min="10" max="10" width="24.42578125" style="15" customWidth="1"/>
    <col min="11" max="11" width="24.42578125" style="31" customWidth="1"/>
    <col min="12" max="12" width="8.42578125" customWidth="1"/>
    <col min="13" max="13" width="25.28515625" customWidth="1"/>
    <col min="14" max="14" width="17.42578125" style="12" customWidth="1"/>
  </cols>
  <sheetData>
    <row r="1" spans="1:16" s="18" customFormat="1" x14ac:dyDescent="0.25">
      <c r="A1" s="17" t="s">
        <v>8</v>
      </c>
      <c r="B1" s="18" t="s">
        <v>0</v>
      </c>
      <c r="C1" s="18" t="s">
        <v>1</v>
      </c>
      <c r="D1" s="18" t="s">
        <v>2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81</v>
      </c>
      <c r="M1" s="18" t="s">
        <v>9</v>
      </c>
      <c r="N1" s="18" t="str">
        <f>TABLE!A1</f>
        <v>PG_CI_STATE_GEO</v>
      </c>
      <c r="O1" s="18" t="s">
        <v>6</v>
      </c>
      <c r="P1" s="18" t="str">
        <f>CONCATENATE($M$1,$N$1,$O$1,B3, ", ", C3, ", ", D3, ", ", )</f>
        <v xml:space="preserve">EXECUTE [dbo].[PG_CI_STATE_GEO] 0, 10, 139, </v>
      </c>
    </row>
    <row r="2" spans="1:16" s="10" customFormat="1" x14ac:dyDescent="0.25">
      <c r="A2" s="3"/>
      <c r="B2" s="7" t="s">
        <v>7</v>
      </c>
      <c r="C2" s="7" t="s">
        <v>7</v>
      </c>
      <c r="D2" s="7" t="s">
        <v>7</v>
      </c>
      <c r="E2" s="14" t="s">
        <v>7</v>
      </c>
      <c r="F2" s="8" t="s">
        <v>7</v>
      </c>
      <c r="G2" s="8" t="s">
        <v>7</v>
      </c>
      <c r="H2" s="24" t="s">
        <v>7</v>
      </c>
      <c r="I2" s="32" t="s">
        <v>7</v>
      </c>
      <c r="J2" s="14" t="s">
        <v>7</v>
      </c>
      <c r="K2" s="14" t="s">
        <v>7</v>
      </c>
      <c r="L2" s="1"/>
      <c r="M2" s="2" t="str">
        <f>"-- =========================================================="</f>
        <v>-- ==========================================================</v>
      </c>
      <c r="O2" s="6"/>
      <c r="P2" s="1"/>
    </row>
    <row r="3" spans="1:16" s="10" customFormat="1" x14ac:dyDescent="0.25">
      <c r="A3" s="19"/>
      <c r="B3" s="20">
        <v>0</v>
      </c>
      <c r="C3" s="20">
        <v>10</v>
      </c>
      <c r="D3" s="20">
        <v>139</v>
      </c>
      <c r="E3" s="27">
        <v>0</v>
      </c>
      <c r="F3" s="21" t="s">
        <v>47</v>
      </c>
      <c r="G3" s="22" t="s">
        <v>48</v>
      </c>
      <c r="H3" s="25">
        <v>1</v>
      </c>
      <c r="I3" s="33" t="str">
        <f t="shared" ref="I3:I35" si="0">CONCATENATE("#",E3," // ",F3)</f>
        <v>#0 // (NO-STATE-GEO)</v>
      </c>
      <c r="J3" s="25">
        <v>1</v>
      </c>
      <c r="K3" s="31">
        <v>0</v>
      </c>
      <c r="M3" s="23" t="str">
        <f>CONCATENATE(CI_MEX!$P$1,E3,", '",F3,"', '",G3,"' , ",H3," , '",I3,"' , ",J3,",",K3)</f>
        <v>EXECUTE [dbo].[PG_CI_STATE_GEO] 0, 10, 139, 0, '(NO-STATE-GEO)', '( N/ST )' , 1 , '#0 // (NO-STATE-GEO)' , 1,0</v>
      </c>
      <c r="N3" s="11"/>
    </row>
    <row r="4" spans="1:16" s="10" customFormat="1" ht="12" x14ac:dyDescent="0.25">
      <c r="A4" s="19"/>
      <c r="B4" s="20">
        <v>0</v>
      </c>
      <c r="C4" s="20">
        <v>10</v>
      </c>
      <c r="D4" s="20">
        <v>139</v>
      </c>
      <c r="E4" s="35">
        <v>1</v>
      </c>
      <c r="F4" s="21" t="s">
        <v>15</v>
      </c>
      <c r="G4" s="22" t="s">
        <v>52</v>
      </c>
      <c r="H4" s="25">
        <v>1</v>
      </c>
      <c r="I4" s="33" t="str">
        <f t="shared" si="0"/>
        <v>#1 // Aguascalientes</v>
      </c>
      <c r="J4" s="25">
        <v>1</v>
      </c>
      <c r="K4" s="36">
        <v>260</v>
      </c>
      <c r="M4" s="23" t="str">
        <f>CONCATENATE(CI_MEX!$P$1,E4,", '",F4,"', '",G4,"' , ",H4," , '",I4,"' , ",J4,",",K4)</f>
        <v>EXECUTE [dbo].[PG_CI_STATE_GEO] 0, 10, 139, 1, 'Aguascalientes', 'Aguas' , 1 , '#1 // Aguascalientes' , 1,260</v>
      </c>
      <c r="N4" s="11"/>
    </row>
    <row r="5" spans="1:16" s="10" customFormat="1" ht="12" x14ac:dyDescent="0.25">
      <c r="A5" s="19"/>
      <c r="B5" s="20">
        <v>0</v>
      </c>
      <c r="C5" s="20">
        <v>10</v>
      </c>
      <c r="D5" s="20">
        <v>139</v>
      </c>
      <c r="E5" s="35">
        <v>2</v>
      </c>
      <c r="F5" s="21" t="s">
        <v>16</v>
      </c>
      <c r="G5" s="22" t="s">
        <v>49</v>
      </c>
      <c r="H5" s="25">
        <v>1</v>
      </c>
      <c r="I5" s="33" t="str">
        <f t="shared" si="0"/>
        <v>#2 // Baja California</v>
      </c>
      <c r="J5" s="25">
        <v>1</v>
      </c>
      <c r="K5" s="36">
        <v>260</v>
      </c>
      <c r="M5" s="23" t="str">
        <f>CONCATENATE(CI_MEX!$P$1,E5,", '",F5,"', '",G5,"' , ",H5," , '",I5,"' , ",J5,",",K5)</f>
        <v>EXECUTE [dbo].[PG_CI_STATE_GEO] 0, 10, 139, 2, 'Baja California', 'BCali' , 1 , '#2 // Baja California' , 1,260</v>
      </c>
      <c r="N5" s="11"/>
    </row>
    <row r="6" spans="1:16" s="10" customFormat="1" ht="12" x14ac:dyDescent="0.25">
      <c r="A6" s="19"/>
      <c r="B6" s="20">
        <v>0</v>
      </c>
      <c r="C6" s="20">
        <v>10</v>
      </c>
      <c r="D6" s="20">
        <v>139</v>
      </c>
      <c r="E6" s="35">
        <v>3</v>
      </c>
      <c r="F6" s="21" t="s">
        <v>17</v>
      </c>
      <c r="G6" s="22" t="s">
        <v>50</v>
      </c>
      <c r="H6" s="25">
        <v>1</v>
      </c>
      <c r="I6" s="33" t="str">
        <f t="shared" si="0"/>
        <v>#3 // Baja California Sur</v>
      </c>
      <c r="J6" s="25">
        <v>1</v>
      </c>
      <c r="K6" s="36">
        <v>260</v>
      </c>
      <c r="M6" s="23" t="str">
        <f>CONCATENATE(CI_MEX!$P$1,E6,", '",F6,"', '",G6,"' , ",H6," , '",I6,"' , ",J6,",",K6)</f>
        <v>EXECUTE [dbo].[PG_CI_STATE_GEO] 0, 10, 139, 3, 'Baja California Sur', 'BCSur' , 1 , '#3 // Baja California Sur' , 1,260</v>
      </c>
      <c r="N6" s="11"/>
    </row>
    <row r="7" spans="1:16" s="10" customFormat="1" ht="12" x14ac:dyDescent="0.25">
      <c r="A7" s="19"/>
      <c r="B7" s="20">
        <v>0</v>
      </c>
      <c r="C7" s="20">
        <v>10</v>
      </c>
      <c r="D7" s="20">
        <v>139</v>
      </c>
      <c r="E7" s="35">
        <v>4</v>
      </c>
      <c r="F7" s="21" t="s">
        <v>18</v>
      </c>
      <c r="G7" s="22" t="s">
        <v>53</v>
      </c>
      <c r="H7" s="25">
        <v>1</v>
      </c>
      <c r="I7" s="33" t="str">
        <f t="shared" si="0"/>
        <v>#4 // Campeche</v>
      </c>
      <c r="J7" s="25">
        <v>1</v>
      </c>
      <c r="K7" s="36">
        <v>260</v>
      </c>
      <c r="M7" s="23" t="str">
        <f>CONCATENATE(CI_MEX!$P$1,E7,", '",F7,"', '",G7,"' , ",H7," , '",I7,"' , ",J7,",",K7)</f>
        <v>EXECUTE [dbo].[PG_CI_STATE_GEO] 0, 10, 139, 4, 'Campeche', 'Campe' , 1 , '#4 // Campeche' , 1,260</v>
      </c>
      <c r="N7" s="11"/>
    </row>
    <row r="8" spans="1:16" s="10" customFormat="1" ht="12" x14ac:dyDescent="0.25">
      <c r="A8" s="19"/>
      <c r="B8" s="20">
        <v>0</v>
      </c>
      <c r="C8" s="20">
        <v>10</v>
      </c>
      <c r="D8" s="20">
        <v>139</v>
      </c>
      <c r="E8" s="35">
        <v>5</v>
      </c>
      <c r="F8" s="21" t="s">
        <v>19</v>
      </c>
      <c r="G8" s="22" t="s">
        <v>54</v>
      </c>
      <c r="H8" s="25">
        <v>1</v>
      </c>
      <c r="I8" s="33" t="str">
        <f t="shared" si="0"/>
        <v>#5 // Coahuila de Zaragoza</v>
      </c>
      <c r="J8" s="25">
        <v>1</v>
      </c>
      <c r="K8" s="36">
        <v>260</v>
      </c>
      <c r="M8" s="23" t="str">
        <f>CONCATENATE(CI_MEX!$P$1,E8,", '",F8,"', '",G8,"' , ",H8," , '",I8,"' , ",J8,",",K8)</f>
        <v>EXECUTE [dbo].[PG_CI_STATE_GEO] 0, 10, 139, 5, 'Coahuila de Zaragoza', 'Coahu' , 1 , '#5 // Coahuila de Zaragoza' , 1,260</v>
      </c>
      <c r="N8" s="11"/>
    </row>
    <row r="9" spans="1:16" s="10" customFormat="1" ht="12" x14ac:dyDescent="0.25">
      <c r="A9" s="19"/>
      <c r="B9" s="20">
        <v>0</v>
      </c>
      <c r="C9" s="20">
        <v>10</v>
      </c>
      <c r="D9" s="20">
        <v>139</v>
      </c>
      <c r="E9" s="35">
        <v>6</v>
      </c>
      <c r="F9" s="21" t="s">
        <v>20</v>
      </c>
      <c r="G9" s="22" t="s">
        <v>55</v>
      </c>
      <c r="H9" s="25">
        <v>1</v>
      </c>
      <c r="I9" s="33" t="str">
        <f t="shared" si="0"/>
        <v>#6 // Colima</v>
      </c>
      <c r="J9" s="25">
        <v>1</v>
      </c>
      <c r="K9" s="36">
        <v>260</v>
      </c>
      <c r="M9" s="23" t="str">
        <f>CONCATENATE(CI_MEX!$P$1,E9,", '",F9,"', '",G9,"' , ",H9," , '",I9,"' , ",J9,",",K9)</f>
        <v>EXECUTE [dbo].[PG_CI_STATE_GEO] 0, 10, 139, 6, 'Colima', 'Colim' , 1 , '#6 // Colima' , 1,260</v>
      </c>
      <c r="N9" s="11"/>
    </row>
    <row r="10" spans="1:16" s="10" customFormat="1" ht="12" x14ac:dyDescent="0.25">
      <c r="A10" s="19"/>
      <c r="B10" s="20">
        <v>0</v>
      </c>
      <c r="C10" s="20">
        <v>10</v>
      </c>
      <c r="D10" s="20">
        <v>139</v>
      </c>
      <c r="E10" s="35">
        <v>7</v>
      </c>
      <c r="F10" s="21" t="s">
        <v>21</v>
      </c>
      <c r="G10" s="22" t="s">
        <v>56</v>
      </c>
      <c r="H10" s="25">
        <v>1</v>
      </c>
      <c r="I10" s="33" t="str">
        <f t="shared" si="0"/>
        <v>#7 // Chiapas</v>
      </c>
      <c r="J10" s="25">
        <v>1</v>
      </c>
      <c r="K10" s="36">
        <v>260</v>
      </c>
      <c r="M10" s="23" t="str">
        <f>CONCATENATE(CI_MEX!$P$1,E10,", '",F10,"', '",G10,"' , ",H10," , '",I10,"' , ",J10,",",K10)</f>
        <v>EXECUTE [dbo].[PG_CI_STATE_GEO] 0, 10, 139, 7, 'Chiapas', 'Chiap' , 1 , '#7 // Chiapas' , 1,260</v>
      </c>
      <c r="N10" s="11"/>
    </row>
    <row r="11" spans="1:16" s="10" customFormat="1" ht="12" x14ac:dyDescent="0.25">
      <c r="A11" s="19"/>
      <c r="B11" s="20">
        <v>0</v>
      </c>
      <c r="C11" s="20">
        <v>10</v>
      </c>
      <c r="D11" s="20">
        <v>139</v>
      </c>
      <c r="E11" s="35">
        <v>8</v>
      </c>
      <c r="F11" s="21" t="s">
        <v>22</v>
      </c>
      <c r="G11" s="22" t="s">
        <v>57</v>
      </c>
      <c r="H11" s="25">
        <v>1</v>
      </c>
      <c r="I11" s="33" t="str">
        <f t="shared" si="0"/>
        <v>#8 // Chihuahua</v>
      </c>
      <c r="J11" s="25">
        <v>1</v>
      </c>
      <c r="K11" s="36">
        <v>260</v>
      </c>
      <c r="M11" s="23" t="str">
        <f>CONCATENATE(CI_MEX!$P$1,E11,", '",F11,"', '",G11,"' , ",H11," , '",I11,"' , ",J11,",",K11)</f>
        <v>EXECUTE [dbo].[PG_CI_STATE_GEO] 0, 10, 139, 8, 'Chihuahua', 'Chihu' , 1 , '#8 // Chihuahua' , 1,260</v>
      </c>
      <c r="N11" s="11"/>
    </row>
    <row r="12" spans="1:16" s="10" customFormat="1" ht="12" x14ac:dyDescent="0.25">
      <c r="A12" s="19"/>
      <c r="B12" s="20">
        <v>0</v>
      </c>
      <c r="C12" s="20">
        <v>10</v>
      </c>
      <c r="D12" s="20">
        <v>139</v>
      </c>
      <c r="E12" s="35">
        <v>9</v>
      </c>
      <c r="F12" s="21" t="s">
        <v>23</v>
      </c>
      <c r="G12" s="22" t="s">
        <v>58</v>
      </c>
      <c r="H12" s="25">
        <v>1</v>
      </c>
      <c r="I12" s="33" t="str">
        <f t="shared" si="0"/>
        <v>#9 // Distrito Federal</v>
      </c>
      <c r="J12" s="25">
        <v>1</v>
      </c>
      <c r="K12" s="36">
        <v>260</v>
      </c>
      <c r="M12" s="23" t="str">
        <f>CONCATENATE(CI_MEX!$P$1,E12,", '",F12,"', '",G12,"' , ",H12," , '",I12,"' , ",J12,",",K12)</f>
        <v>EXECUTE [dbo].[PG_CI_STATE_GEO] 0, 10, 139, 9, 'Distrito Federal', 'Distr' , 1 , '#9 // Distrito Federal' , 1,260</v>
      </c>
      <c r="N12" s="11"/>
    </row>
    <row r="13" spans="1:16" s="10" customFormat="1" ht="12" x14ac:dyDescent="0.25">
      <c r="A13" s="19"/>
      <c r="B13" s="20">
        <v>0</v>
      </c>
      <c r="C13" s="20">
        <v>10</v>
      </c>
      <c r="D13" s="20">
        <v>139</v>
      </c>
      <c r="E13" s="35">
        <v>10</v>
      </c>
      <c r="F13" s="21" t="s">
        <v>24</v>
      </c>
      <c r="G13" s="22" t="s">
        <v>59</v>
      </c>
      <c r="H13" s="25">
        <v>1</v>
      </c>
      <c r="I13" s="33" t="str">
        <f t="shared" si="0"/>
        <v>#10 // Durango</v>
      </c>
      <c r="J13" s="25">
        <v>1</v>
      </c>
      <c r="K13" s="36">
        <v>260</v>
      </c>
      <c r="M13" s="23" t="str">
        <f>CONCATENATE(CI_MEX!$P$1,E13,", '",F13,"', '",G13,"' , ",H13," , '",I13,"' , ",J13,",",K13)</f>
        <v>EXECUTE [dbo].[PG_CI_STATE_GEO] 0, 10, 139, 10, 'Durango', 'Duran' , 1 , '#10 // Durango' , 1,260</v>
      </c>
      <c r="N13" s="11"/>
    </row>
    <row r="14" spans="1:16" s="10" customFormat="1" ht="12" x14ac:dyDescent="0.25">
      <c r="A14" s="19"/>
      <c r="B14" s="20">
        <v>0</v>
      </c>
      <c r="C14" s="20">
        <v>10</v>
      </c>
      <c r="D14" s="20">
        <v>139</v>
      </c>
      <c r="E14" s="35">
        <v>11</v>
      </c>
      <c r="F14" s="21" t="s">
        <v>25</v>
      </c>
      <c r="G14" s="22" t="s">
        <v>60</v>
      </c>
      <c r="H14" s="25">
        <v>1</v>
      </c>
      <c r="I14" s="33" t="str">
        <f t="shared" si="0"/>
        <v>#11 // Guanajuato</v>
      </c>
      <c r="J14" s="25">
        <v>1</v>
      </c>
      <c r="K14" s="36">
        <v>260</v>
      </c>
      <c r="M14" s="23" t="str">
        <f>CONCATENATE(CI_MEX!$P$1,E14,", '",F14,"', '",G14,"' , ",H14," , '",I14,"' , ",J14,",",K14)</f>
        <v>EXECUTE [dbo].[PG_CI_STATE_GEO] 0, 10, 139, 11, 'Guanajuato', 'Guana' , 1 , '#11 // Guanajuato' , 1,260</v>
      </c>
      <c r="N14" s="11"/>
    </row>
    <row r="15" spans="1:16" s="10" customFormat="1" ht="12" x14ac:dyDescent="0.25">
      <c r="A15" s="19"/>
      <c r="B15" s="20">
        <v>0</v>
      </c>
      <c r="C15" s="20">
        <v>10</v>
      </c>
      <c r="D15" s="20">
        <v>139</v>
      </c>
      <c r="E15" s="35">
        <v>12</v>
      </c>
      <c r="F15" s="21" t="s">
        <v>26</v>
      </c>
      <c r="G15" s="22" t="s">
        <v>61</v>
      </c>
      <c r="H15" s="25">
        <v>1</v>
      </c>
      <c r="I15" s="33" t="str">
        <f t="shared" si="0"/>
        <v>#12 // Guerrero</v>
      </c>
      <c r="J15" s="25">
        <v>1</v>
      </c>
      <c r="K15" s="36">
        <v>260</v>
      </c>
      <c r="M15" s="23" t="str">
        <f>CONCATENATE(CI_MEX!$P$1,E15,", '",F15,"', '",G15,"' , ",H15," , '",I15,"' , ",J15,",",K15)</f>
        <v>EXECUTE [dbo].[PG_CI_STATE_GEO] 0, 10, 139, 12, 'Guerrero', 'Guerr' , 1 , '#12 // Guerrero' , 1,260</v>
      </c>
      <c r="N15" s="11"/>
    </row>
    <row r="16" spans="1:16" s="10" customFormat="1" ht="12" x14ac:dyDescent="0.25">
      <c r="A16" s="19"/>
      <c r="B16" s="20">
        <v>0</v>
      </c>
      <c r="C16" s="20">
        <v>10</v>
      </c>
      <c r="D16" s="20">
        <v>139</v>
      </c>
      <c r="E16" s="35">
        <v>13</v>
      </c>
      <c r="F16" s="21" t="s">
        <v>27</v>
      </c>
      <c r="G16" s="22" t="s">
        <v>62</v>
      </c>
      <c r="H16" s="25">
        <v>1</v>
      </c>
      <c r="I16" s="33" t="str">
        <f t="shared" si="0"/>
        <v>#13 // Hidalgo</v>
      </c>
      <c r="J16" s="25">
        <v>1</v>
      </c>
      <c r="K16" s="36">
        <v>260</v>
      </c>
      <c r="M16" s="23" t="str">
        <f>CONCATENATE(CI_MEX!$P$1,E16,", '",F16,"', '",G16,"' , ",H16," , '",I16,"' , ",J16,",",K16)</f>
        <v>EXECUTE [dbo].[PG_CI_STATE_GEO] 0, 10, 139, 13, 'Hidalgo', 'Hidal' , 1 , '#13 // Hidalgo' , 1,260</v>
      </c>
      <c r="N16" s="11"/>
    </row>
    <row r="17" spans="1:14" s="10" customFormat="1" ht="12" x14ac:dyDescent="0.25">
      <c r="A17" s="19"/>
      <c r="B17" s="20">
        <v>0</v>
      </c>
      <c r="C17" s="20">
        <v>10</v>
      </c>
      <c r="D17" s="20">
        <v>139</v>
      </c>
      <c r="E17" s="35">
        <v>14</v>
      </c>
      <c r="F17" s="21" t="s">
        <v>28</v>
      </c>
      <c r="G17" s="22" t="s">
        <v>63</v>
      </c>
      <c r="H17" s="25">
        <v>1</v>
      </c>
      <c r="I17" s="33" t="str">
        <f t="shared" si="0"/>
        <v>#14 // Jalisco</v>
      </c>
      <c r="J17" s="25">
        <v>1</v>
      </c>
      <c r="K17" s="36">
        <v>260</v>
      </c>
      <c r="M17" s="23" t="str">
        <f>CONCATENATE(CI_MEX!$P$1,E17,", '",F17,"', '",G17,"' , ",H17," , '",I17,"' , ",J17,",",K17)</f>
        <v>EXECUTE [dbo].[PG_CI_STATE_GEO] 0, 10, 139, 14, 'Jalisco', 'Jalis' , 1 , '#14 // Jalisco' , 1,260</v>
      </c>
      <c r="N17" s="11"/>
    </row>
    <row r="18" spans="1:14" s="10" customFormat="1" ht="12" x14ac:dyDescent="0.25">
      <c r="A18" s="19"/>
      <c r="B18" s="20">
        <v>0</v>
      </c>
      <c r="C18" s="20">
        <v>10</v>
      </c>
      <c r="D18" s="20">
        <v>139</v>
      </c>
      <c r="E18" s="35">
        <v>15</v>
      </c>
      <c r="F18" s="21" t="s">
        <v>29</v>
      </c>
      <c r="G18" s="22" t="s">
        <v>64</v>
      </c>
      <c r="H18" s="25">
        <v>1</v>
      </c>
      <c r="I18" s="33" t="str">
        <f t="shared" si="0"/>
        <v>#15 // México</v>
      </c>
      <c r="J18" s="25">
        <v>1</v>
      </c>
      <c r="K18" s="36">
        <v>260</v>
      </c>
      <c r="M18" s="23" t="str">
        <f>CONCATENATE(CI_MEX!$P$1,E18,", '",F18,"', '",G18,"' , ",H18," , '",I18,"' , ",J18,",",K18)</f>
        <v>EXECUTE [dbo].[PG_CI_STATE_GEO] 0, 10, 139, 15, 'México', 'Méxic' , 1 , '#15 // México' , 1,260</v>
      </c>
      <c r="N18" s="11"/>
    </row>
    <row r="19" spans="1:14" s="10" customFormat="1" ht="12" x14ac:dyDescent="0.25">
      <c r="A19" s="19"/>
      <c r="B19" s="20">
        <v>0</v>
      </c>
      <c r="C19" s="20">
        <v>10</v>
      </c>
      <c r="D19" s="20">
        <v>139</v>
      </c>
      <c r="E19" s="35">
        <v>16</v>
      </c>
      <c r="F19" s="21" t="s">
        <v>30</v>
      </c>
      <c r="G19" s="22" t="s">
        <v>65</v>
      </c>
      <c r="H19" s="25">
        <v>1</v>
      </c>
      <c r="I19" s="33" t="str">
        <f t="shared" si="0"/>
        <v>#16 // Michoacán de Ocampo</v>
      </c>
      <c r="J19" s="25">
        <v>1</v>
      </c>
      <c r="K19" s="36">
        <v>260</v>
      </c>
      <c r="M19" s="23" t="str">
        <f>CONCATENATE(CI_MEX!$P$1,E19,", '",F19,"', '",G19,"' , ",H19," , '",I19,"' , ",J19,",",K19)</f>
        <v>EXECUTE [dbo].[PG_CI_STATE_GEO] 0, 10, 139, 16, 'Michoacán de Ocampo', 'Micho' , 1 , '#16 // Michoacán de Ocampo' , 1,260</v>
      </c>
      <c r="N19" s="11"/>
    </row>
    <row r="20" spans="1:14" s="10" customFormat="1" ht="12" x14ac:dyDescent="0.25">
      <c r="A20" s="19"/>
      <c r="B20" s="20">
        <v>0</v>
      </c>
      <c r="C20" s="20">
        <v>10</v>
      </c>
      <c r="D20" s="20">
        <v>139</v>
      </c>
      <c r="E20" s="35">
        <v>17</v>
      </c>
      <c r="F20" s="21" t="s">
        <v>31</v>
      </c>
      <c r="G20" s="22" t="s">
        <v>66</v>
      </c>
      <c r="H20" s="25">
        <v>1</v>
      </c>
      <c r="I20" s="33" t="str">
        <f t="shared" si="0"/>
        <v>#17 // Morelos</v>
      </c>
      <c r="J20" s="25">
        <v>1</v>
      </c>
      <c r="K20" s="36">
        <v>260</v>
      </c>
      <c r="M20" s="23" t="str">
        <f>CONCATENATE(CI_MEX!$P$1,E20,", '",F20,"', '",G20,"' , ",H20," , '",I20,"' , ",J20,",",K20)</f>
        <v>EXECUTE [dbo].[PG_CI_STATE_GEO] 0, 10, 139, 17, 'Morelos', 'Morel' , 1 , '#17 // Morelos' , 1,260</v>
      </c>
      <c r="N20" s="11"/>
    </row>
    <row r="21" spans="1:14" s="10" customFormat="1" ht="12" x14ac:dyDescent="0.25">
      <c r="A21" s="19"/>
      <c r="B21" s="20">
        <v>0</v>
      </c>
      <c r="C21" s="20">
        <v>10</v>
      </c>
      <c r="D21" s="20">
        <v>139</v>
      </c>
      <c r="E21" s="35">
        <v>18</v>
      </c>
      <c r="F21" s="21" t="s">
        <v>32</v>
      </c>
      <c r="G21" s="22" t="s">
        <v>67</v>
      </c>
      <c r="H21" s="25">
        <v>1</v>
      </c>
      <c r="I21" s="33" t="str">
        <f t="shared" si="0"/>
        <v>#18 // Nayarit</v>
      </c>
      <c r="J21" s="25">
        <v>1</v>
      </c>
      <c r="K21" s="36">
        <v>260</v>
      </c>
      <c r="M21" s="23" t="str">
        <f>CONCATENATE(CI_MEX!$P$1,E21,", '",F21,"', '",G21,"' , ",H21," , '",I21,"' , ",J21,",",K21)</f>
        <v>EXECUTE [dbo].[PG_CI_STATE_GEO] 0, 10, 139, 18, 'Nayarit', 'Nayar' , 1 , '#18 // Nayarit' , 1,260</v>
      </c>
      <c r="N21" s="11"/>
    </row>
    <row r="22" spans="1:14" s="10" customFormat="1" ht="12" x14ac:dyDescent="0.25">
      <c r="A22" s="19"/>
      <c r="B22" s="20">
        <v>0</v>
      </c>
      <c r="C22" s="20">
        <v>10</v>
      </c>
      <c r="D22" s="20">
        <v>139</v>
      </c>
      <c r="E22" s="35">
        <v>19</v>
      </c>
      <c r="F22" s="21" t="s">
        <v>33</v>
      </c>
      <c r="G22" s="22" t="s">
        <v>68</v>
      </c>
      <c r="H22" s="25">
        <v>1</v>
      </c>
      <c r="I22" s="33" t="str">
        <f t="shared" si="0"/>
        <v>#19 // Nuevo León</v>
      </c>
      <c r="J22" s="25">
        <v>1</v>
      </c>
      <c r="K22" s="36">
        <v>260</v>
      </c>
      <c r="M22" s="23" t="str">
        <f>CONCATENATE(CI_MEX!$P$1,E22,", '",F22,"', '",G22,"' , ",H22," , '",I22,"' , ",J22,",",K22)</f>
        <v>EXECUTE [dbo].[PG_CI_STATE_GEO] 0, 10, 139, 19, 'Nuevo León', 'Nuevo' , 1 , '#19 // Nuevo León' , 1,260</v>
      </c>
      <c r="N22" s="11"/>
    </row>
    <row r="23" spans="1:14" s="10" customFormat="1" ht="12" x14ac:dyDescent="0.25">
      <c r="A23" s="19"/>
      <c r="B23" s="20">
        <v>0</v>
      </c>
      <c r="C23" s="20">
        <v>10</v>
      </c>
      <c r="D23" s="20">
        <v>139</v>
      </c>
      <c r="E23" s="35">
        <v>20</v>
      </c>
      <c r="F23" s="21" t="s">
        <v>34</v>
      </c>
      <c r="G23" s="22" t="s">
        <v>69</v>
      </c>
      <c r="H23" s="25">
        <v>1</v>
      </c>
      <c r="I23" s="33" t="str">
        <f t="shared" si="0"/>
        <v>#20 // Oaxaca</v>
      </c>
      <c r="J23" s="25">
        <v>1</v>
      </c>
      <c r="K23" s="36">
        <v>260</v>
      </c>
      <c r="M23" s="23" t="str">
        <f>CONCATENATE(CI_MEX!$P$1,E23,", '",F23,"', '",G23,"' , ",H23," , '",I23,"' , ",J23,",",K23)</f>
        <v>EXECUTE [dbo].[PG_CI_STATE_GEO] 0, 10, 139, 20, 'Oaxaca', 'Oaxac' , 1 , '#20 // Oaxaca' , 1,260</v>
      </c>
      <c r="N23" s="11"/>
    </row>
    <row r="24" spans="1:14" s="10" customFormat="1" ht="12" x14ac:dyDescent="0.25">
      <c r="A24" s="19"/>
      <c r="B24" s="20">
        <v>0</v>
      </c>
      <c r="C24" s="20">
        <v>10</v>
      </c>
      <c r="D24" s="20">
        <v>139</v>
      </c>
      <c r="E24" s="35">
        <v>21</v>
      </c>
      <c r="F24" s="21" t="s">
        <v>35</v>
      </c>
      <c r="G24" s="22" t="s">
        <v>70</v>
      </c>
      <c r="H24" s="25">
        <v>1</v>
      </c>
      <c r="I24" s="33" t="str">
        <f t="shared" si="0"/>
        <v>#21 // Puebla</v>
      </c>
      <c r="J24" s="25">
        <v>1</v>
      </c>
      <c r="K24" s="36">
        <v>260</v>
      </c>
      <c r="M24" s="23" t="str">
        <f>CONCATENATE(CI_MEX!$P$1,E24,", '",F24,"', '",G24,"' , ",H24," , '",I24,"' , ",J24,",",K24)</f>
        <v>EXECUTE [dbo].[PG_CI_STATE_GEO] 0, 10, 139, 21, 'Puebla', 'Puebl' , 1 , '#21 // Puebla' , 1,260</v>
      </c>
      <c r="N24" s="11"/>
    </row>
    <row r="25" spans="1:14" s="10" customFormat="1" ht="12" x14ac:dyDescent="0.25">
      <c r="A25" s="19"/>
      <c r="B25" s="20">
        <v>0</v>
      </c>
      <c r="C25" s="20">
        <v>10</v>
      </c>
      <c r="D25" s="20">
        <v>139</v>
      </c>
      <c r="E25" s="35">
        <v>22</v>
      </c>
      <c r="F25" s="21" t="s">
        <v>36</v>
      </c>
      <c r="G25" s="22" t="s">
        <v>71</v>
      </c>
      <c r="H25" s="25">
        <v>1</v>
      </c>
      <c r="I25" s="33" t="str">
        <f t="shared" si="0"/>
        <v>#22 // Querétaro</v>
      </c>
      <c r="J25" s="25">
        <v>1</v>
      </c>
      <c r="K25" s="36">
        <v>260</v>
      </c>
      <c r="M25" s="23" t="str">
        <f>CONCATENATE(CI_MEX!$P$1,E25,", '",F25,"', '",G25,"' , ",H25," , '",I25,"' , ",J25,",",K25)</f>
        <v>EXECUTE [dbo].[PG_CI_STATE_GEO] 0, 10, 139, 22, 'Querétaro', 'Queré' , 1 , '#22 // Querétaro' , 1,260</v>
      </c>
      <c r="N25" s="11"/>
    </row>
    <row r="26" spans="1:14" s="10" customFormat="1" ht="12" x14ac:dyDescent="0.25">
      <c r="A26" s="19"/>
      <c r="B26" s="20">
        <v>0</v>
      </c>
      <c r="C26" s="20">
        <v>10</v>
      </c>
      <c r="D26" s="20">
        <v>139</v>
      </c>
      <c r="E26" s="35">
        <v>23</v>
      </c>
      <c r="F26" s="21" t="s">
        <v>37</v>
      </c>
      <c r="G26" s="22" t="s">
        <v>72</v>
      </c>
      <c r="H26" s="25">
        <v>1</v>
      </c>
      <c r="I26" s="33" t="str">
        <f t="shared" si="0"/>
        <v>#23 // Quintana Roo</v>
      </c>
      <c r="J26" s="25">
        <v>1</v>
      </c>
      <c r="K26" s="36">
        <v>260</v>
      </c>
      <c r="M26" s="23" t="str">
        <f>CONCATENATE(CI_MEX!$P$1,E26,", '",F26,"', '",G26,"' , ",H26," , '",I26,"' , ",J26,",",K26)</f>
        <v>EXECUTE [dbo].[PG_CI_STATE_GEO] 0, 10, 139, 23, 'Quintana Roo', 'Quint' , 1 , '#23 // Quintana Roo' , 1,260</v>
      </c>
      <c r="N26" s="11"/>
    </row>
    <row r="27" spans="1:14" s="10" customFormat="1" ht="12" x14ac:dyDescent="0.25">
      <c r="A27" s="19"/>
      <c r="B27" s="20">
        <v>0</v>
      </c>
      <c r="C27" s="20">
        <v>10</v>
      </c>
      <c r="D27" s="20">
        <v>139</v>
      </c>
      <c r="E27" s="35">
        <v>24</v>
      </c>
      <c r="F27" s="21" t="s">
        <v>38</v>
      </c>
      <c r="G27" s="22" t="s">
        <v>51</v>
      </c>
      <c r="H27" s="25">
        <v>1</v>
      </c>
      <c r="I27" s="33" t="str">
        <f t="shared" si="0"/>
        <v>#24 // San Luis Potosí</v>
      </c>
      <c r="J27" s="25">
        <v>1</v>
      </c>
      <c r="K27" s="36">
        <v>260</v>
      </c>
      <c r="M27" s="23" t="str">
        <f>CONCATENATE(CI_MEX!$P$1,E27,", '",F27,"', '",G27,"' , ",H27," , '",I27,"' , ",J27,",",K27)</f>
        <v>EXECUTE [dbo].[PG_CI_STATE_GEO] 0, 10, 139, 24, 'San Luis Potosí', 'SLuis' , 1 , '#24 // San Luis Potosí' , 1,260</v>
      </c>
      <c r="N27" s="11"/>
    </row>
    <row r="28" spans="1:14" s="10" customFormat="1" ht="12" x14ac:dyDescent="0.25">
      <c r="A28" s="19"/>
      <c r="B28" s="20">
        <v>0</v>
      </c>
      <c r="C28" s="20">
        <v>10</v>
      </c>
      <c r="D28" s="20">
        <v>139</v>
      </c>
      <c r="E28" s="35">
        <v>25</v>
      </c>
      <c r="F28" s="21" t="s">
        <v>39</v>
      </c>
      <c r="G28" s="22" t="s">
        <v>73</v>
      </c>
      <c r="H28" s="25">
        <v>1</v>
      </c>
      <c r="I28" s="33" t="str">
        <f t="shared" si="0"/>
        <v>#25 // Sinaloa</v>
      </c>
      <c r="J28" s="25">
        <v>1</v>
      </c>
      <c r="K28" s="36">
        <v>260</v>
      </c>
      <c r="M28" s="23" t="str">
        <f>CONCATENATE(CI_MEX!$P$1,E28,", '",F28,"', '",G28,"' , ",H28," , '",I28,"' , ",J28,",",K28)</f>
        <v>EXECUTE [dbo].[PG_CI_STATE_GEO] 0, 10, 139, 25, 'Sinaloa', 'Sinal' , 1 , '#25 // Sinaloa' , 1,260</v>
      </c>
      <c r="N28" s="11"/>
    </row>
    <row r="29" spans="1:14" s="10" customFormat="1" ht="12" x14ac:dyDescent="0.25">
      <c r="A29" s="19"/>
      <c r="B29" s="20">
        <v>0</v>
      </c>
      <c r="C29" s="20">
        <v>10</v>
      </c>
      <c r="D29" s="20">
        <v>139</v>
      </c>
      <c r="E29" s="35">
        <v>26</v>
      </c>
      <c r="F29" s="21" t="s">
        <v>40</v>
      </c>
      <c r="G29" s="22" t="s">
        <v>74</v>
      </c>
      <c r="H29" s="25">
        <v>1</v>
      </c>
      <c r="I29" s="33" t="str">
        <f t="shared" si="0"/>
        <v>#26 // Sonora</v>
      </c>
      <c r="J29" s="25">
        <v>1</v>
      </c>
      <c r="K29" s="36">
        <v>260</v>
      </c>
      <c r="M29" s="23" t="str">
        <f>CONCATENATE(CI_MEX!$P$1,E29,", '",F29,"', '",G29,"' , ",H29," , '",I29,"' , ",J29,",",K29)</f>
        <v>EXECUTE [dbo].[PG_CI_STATE_GEO] 0, 10, 139, 26, 'Sonora', 'Sonor' , 1 , '#26 // Sonora' , 1,260</v>
      </c>
      <c r="N29" s="11"/>
    </row>
    <row r="30" spans="1:14" s="10" customFormat="1" ht="12" x14ac:dyDescent="0.25">
      <c r="A30" s="19"/>
      <c r="B30" s="20">
        <v>0</v>
      </c>
      <c r="C30" s="20">
        <v>10</v>
      </c>
      <c r="D30" s="20">
        <v>139</v>
      </c>
      <c r="E30" s="35">
        <v>27</v>
      </c>
      <c r="F30" s="21" t="s">
        <v>41</v>
      </c>
      <c r="G30" s="22" t="s">
        <v>75</v>
      </c>
      <c r="H30" s="25">
        <v>1</v>
      </c>
      <c r="I30" s="33" t="str">
        <f t="shared" si="0"/>
        <v>#27 // Tabasco</v>
      </c>
      <c r="J30" s="25">
        <v>1</v>
      </c>
      <c r="K30" s="36">
        <v>260</v>
      </c>
      <c r="M30" s="23" t="str">
        <f>CONCATENATE(CI_MEX!$P$1,E30,", '",F30,"', '",G30,"' , ",H30," , '",I30,"' , ",J30,",",K30)</f>
        <v>EXECUTE [dbo].[PG_CI_STATE_GEO] 0, 10, 139, 27, 'Tabasco', 'Tabas' , 1 , '#27 // Tabasco' , 1,260</v>
      </c>
      <c r="N30" s="11"/>
    </row>
    <row r="31" spans="1:14" s="10" customFormat="1" ht="12" x14ac:dyDescent="0.25">
      <c r="A31" s="19"/>
      <c r="B31" s="20">
        <v>0</v>
      </c>
      <c r="C31" s="20">
        <v>10</v>
      </c>
      <c r="D31" s="20">
        <v>139</v>
      </c>
      <c r="E31" s="35">
        <v>28</v>
      </c>
      <c r="F31" s="21" t="s">
        <v>42</v>
      </c>
      <c r="G31" s="22" t="s">
        <v>76</v>
      </c>
      <c r="H31" s="25">
        <v>1</v>
      </c>
      <c r="I31" s="33" t="str">
        <f t="shared" si="0"/>
        <v>#28 // Tamaulipas</v>
      </c>
      <c r="J31" s="25">
        <v>1</v>
      </c>
      <c r="K31" s="36">
        <v>260</v>
      </c>
      <c r="M31" s="23" t="str">
        <f>CONCATENATE(CI_MEX!$P$1,E31,", '",F31,"', '",G31,"' , ",H31," , '",I31,"' , ",J31,",",K31)</f>
        <v>EXECUTE [dbo].[PG_CI_STATE_GEO] 0, 10, 139, 28, 'Tamaulipas', 'Tamau' , 1 , '#28 // Tamaulipas' , 1,260</v>
      </c>
      <c r="N31" s="11"/>
    </row>
    <row r="32" spans="1:14" s="10" customFormat="1" ht="12" x14ac:dyDescent="0.25">
      <c r="A32" s="19"/>
      <c r="B32" s="20">
        <v>0</v>
      </c>
      <c r="C32" s="20">
        <v>10</v>
      </c>
      <c r="D32" s="20">
        <v>139</v>
      </c>
      <c r="E32" s="35">
        <v>29</v>
      </c>
      <c r="F32" s="21" t="s">
        <v>43</v>
      </c>
      <c r="G32" s="22" t="s">
        <v>77</v>
      </c>
      <c r="H32" s="25">
        <v>1</v>
      </c>
      <c r="I32" s="33" t="str">
        <f t="shared" si="0"/>
        <v>#29 // Tlaxcala</v>
      </c>
      <c r="J32" s="25">
        <v>1</v>
      </c>
      <c r="K32" s="36">
        <v>260</v>
      </c>
      <c r="M32" s="23" t="str">
        <f>CONCATENATE(CI_MEX!$P$1,E32,", '",F32,"', '",G32,"' , ",H32," , '",I32,"' , ",J32,",",K32)</f>
        <v>EXECUTE [dbo].[PG_CI_STATE_GEO] 0, 10, 139, 29, 'Tlaxcala', 'Tlaxc' , 1 , '#29 // Tlaxcala' , 1,260</v>
      </c>
      <c r="N32" s="11"/>
    </row>
    <row r="33" spans="1:14" s="10" customFormat="1" ht="12" x14ac:dyDescent="0.25">
      <c r="A33" s="19"/>
      <c r="B33" s="20">
        <v>0</v>
      </c>
      <c r="C33" s="20">
        <v>10</v>
      </c>
      <c r="D33" s="20">
        <v>139</v>
      </c>
      <c r="E33" s="35">
        <v>30</v>
      </c>
      <c r="F33" s="21" t="s">
        <v>44</v>
      </c>
      <c r="G33" s="22" t="s">
        <v>78</v>
      </c>
      <c r="H33" s="25">
        <v>1</v>
      </c>
      <c r="I33" s="33" t="str">
        <f t="shared" si="0"/>
        <v>#30 // Veracruz de Ignacio de la Llav</v>
      </c>
      <c r="J33" s="25">
        <v>1</v>
      </c>
      <c r="K33" s="36">
        <v>260</v>
      </c>
      <c r="M33" s="23" t="str">
        <f>CONCATENATE(CI_MEX!$P$1,E33,", '",F33,"', '",G33,"' , ",H33," , '",I33,"' , ",J33,",",K33)</f>
        <v>EXECUTE [dbo].[PG_CI_STATE_GEO] 0, 10, 139, 30, 'Veracruz de Ignacio de la Llav', 'Verac' , 1 , '#30 // Veracruz de Ignacio de la Llav' , 1,260</v>
      </c>
      <c r="N33" s="11"/>
    </row>
    <row r="34" spans="1:14" s="10" customFormat="1" ht="12" x14ac:dyDescent="0.25">
      <c r="A34" s="19"/>
      <c r="B34" s="20">
        <v>0</v>
      </c>
      <c r="C34" s="20">
        <v>10</v>
      </c>
      <c r="D34" s="20">
        <v>139</v>
      </c>
      <c r="E34" s="35">
        <v>31</v>
      </c>
      <c r="F34" s="21" t="s">
        <v>45</v>
      </c>
      <c r="G34" s="22" t="s">
        <v>79</v>
      </c>
      <c r="H34" s="25">
        <v>1</v>
      </c>
      <c r="I34" s="33" t="str">
        <f t="shared" si="0"/>
        <v>#31 // Yucatán</v>
      </c>
      <c r="J34" s="25">
        <v>1</v>
      </c>
      <c r="K34" s="36">
        <v>260</v>
      </c>
      <c r="M34" s="23" t="str">
        <f>CONCATENATE(CI_MEX!$P$1,E34,", '",F34,"', '",G34,"' , ",H34," , '",I34,"' , ",J34,",",K34)</f>
        <v>EXECUTE [dbo].[PG_CI_STATE_GEO] 0, 10, 139, 31, 'Yucatán', 'Yucat' , 1 , '#31 // Yucatán' , 1,260</v>
      </c>
      <c r="N34" s="11"/>
    </row>
    <row r="35" spans="1:14" s="10" customFormat="1" ht="12" x14ac:dyDescent="0.25">
      <c r="A35" s="19"/>
      <c r="B35" s="20">
        <v>0</v>
      </c>
      <c r="C35" s="20">
        <v>10</v>
      </c>
      <c r="D35" s="20">
        <v>139</v>
      </c>
      <c r="E35" s="35">
        <v>32</v>
      </c>
      <c r="F35" s="21" t="s">
        <v>46</v>
      </c>
      <c r="G35" s="22" t="s">
        <v>80</v>
      </c>
      <c r="H35" s="25">
        <v>1</v>
      </c>
      <c r="I35" s="33" t="str">
        <f t="shared" si="0"/>
        <v>#32 // Zacatecas</v>
      </c>
      <c r="J35" s="25">
        <v>1</v>
      </c>
      <c r="K35" s="36">
        <v>260</v>
      </c>
      <c r="M35" s="23" t="str">
        <f>CONCATENATE(CI_MEX!$P$1,E35,", '",F35,"', '",G35,"' , ",H35," , '",I35,"' , ",J35,",",K35)</f>
        <v>EXECUTE [dbo].[PG_CI_STATE_GEO] 0, 10, 139, 32, 'Zacatecas', 'Zacat' , 1 , '#32 // Zacatecas' , 1,260</v>
      </c>
      <c r="N35" s="11"/>
    </row>
    <row r="36" spans="1:14" s="10" customFormat="1" x14ac:dyDescent="0.25">
      <c r="A36" s="19"/>
      <c r="B36" s="20"/>
      <c r="C36" s="20"/>
      <c r="D36" s="20"/>
      <c r="E36" s="27"/>
      <c r="F36" s="33"/>
      <c r="G36" s="22"/>
      <c r="H36" s="25"/>
      <c r="I36" s="33"/>
      <c r="J36" s="25"/>
      <c r="K36" s="31"/>
      <c r="M36" s="23"/>
      <c r="N36" s="11"/>
    </row>
    <row r="37" spans="1:14" s="10" customFormat="1" x14ac:dyDescent="0.25">
      <c r="A37" s="19"/>
      <c r="B37" s="20"/>
      <c r="C37" s="20"/>
      <c r="D37" s="20"/>
      <c r="E37" s="27"/>
      <c r="F37" s="33"/>
      <c r="G37" s="22"/>
      <c r="H37" s="25"/>
      <c r="I37" s="33"/>
      <c r="J37" s="25"/>
      <c r="K37" s="31"/>
      <c r="M37" s="23"/>
      <c r="N37" s="11"/>
    </row>
    <row r="38" spans="1:14" s="10" customFormat="1" x14ac:dyDescent="0.25">
      <c r="A38" s="19"/>
      <c r="B38" s="20"/>
      <c r="C38" s="20"/>
      <c r="D38" s="20"/>
      <c r="E38" s="27"/>
      <c r="F38" s="33"/>
      <c r="G38" s="22"/>
      <c r="H38" s="25"/>
      <c r="I38" s="33"/>
      <c r="J38" s="25"/>
      <c r="K38" s="31"/>
      <c r="M38" s="23"/>
      <c r="N38" s="11"/>
    </row>
    <row r="39" spans="1:14" s="10" customFormat="1" x14ac:dyDescent="0.25">
      <c r="A39" s="19"/>
      <c r="B39" s="20"/>
      <c r="C39" s="20"/>
      <c r="D39" s="20"/>
      <c r="E39" s="27"/>
      <c r="F39" s="33"/>
      <c r="G39" s="22"/>
      <c r="H39" s="25"/>
      <c r="I39" s="33"/>
      <c r="J39" s="25"/>
      <c r="K39" s="31"/>
      <c r="M39" s="23"/>
      <c r="N39" s="11"/>
    </row>
    <row r="40" spans="1:14" s="10" customFormat="1" x14ac:dyDescent="0.25">
      <c r="A40" s="19"/>
      <c r="B40" s="20"/>
      <c r="C40" s="20"/>
      <c r="D40" s="20"/>
      <c r="E40" s="27"/>
      <c r="F40" s="33"/>
      <c r="G40" s="22"/>
      <c r="H40" s="25"/>
      <c r="I40" s="33"/>
      <c r="J40" s="25"/>
      <c r="K40" s="31"/>
      <c r="M40" s="23"/>
      <c r="N40" s="11"/>
    </row>
    <row r="41" spans="1:14" s="10" customFormat="1" x14ac:dyDescent="0.25">
      <c r="A41" s="19"/>
      <c r="B41" s="20"/>
      <c r="C41" s="20"/>
      <c r="D41" s="20"/>
      <c r="E41" s="27"/>
      <c r="F41" s="33"/>
      <c r="G41" s="22"/>
      <c r="H41" s="25"/>
      <c r="I41" s="33"/>
      <c r="J41" s="25"/>
      <c r="K41" s="31"/>
      <c r="M41" s="23"/>
      <c r="N41" s="11"/>
    </row>
    <row r="42" spans="1:14" s="10" customFormat="1" x14ac:dyDescent="0.25">
      <c r="A42" s="19"/>
      <c r="B42" s="20"/>
      <c r="C42" s="20"/>
      <c r="D42" s="20"/>
      <c r="E42" s="27"/>
      <c r="F42" s="33"/>
      <c r="G42" s="22"/>
      <c r="H42" s="25"/>
      <c r="I42" s="33"/>
      <c r="J42" s="25"/>
      <c r="K42" s="31"/>
      <c r="M42" s="23"/>
      <c r="N42" s="11"/>
    </row>
    <row r="43" spans="1:14" s="10" customFormat="1" x14ac:dyDescent="0.25">
      <c r="A43" s="19"/>
      <c r="B43" s="20"/>
      <c r="C43" s="20"/>
      <c r="D43" s="20"/>
      <c r="E43" s="27"/>
      <c r="F43" s="33"/>
      <c r="G43" s="22"/>
      <c r="H43" s="25"/>
      <c r="I43" s="33"/>
      <c r="J43" s="25"/>
      <c r="K43" s="31"/>
      <c r="M43" s="23"/>
      <c r="N43" s="11"/>
    </row>
    <row r="44" spans="1:14" s="10" customFormat="1" x14ac:dyDescent="0.25">
      <c r="A44" s="19"/>
      <c r="B44" s="20"/>
      <c r="C44" s="20"/>
      <c r="D44" s="20"/>
      <c r="E44" s="27"/>
      <c r="F44" s="33"/>
      <c r="G44" s="22"/>
      <c r="H44" s="25"/>
      <c r="I44" s="33"/>
      <c r="J44" s="25"/>
      <c r="K44" s="31"/>
      <c r="M44" s="23"/>
      <c r="N44" s="11"/>
    </row>
    <row r="45" spans="1:14" s="10" customFormat="1" x14ac:dyDescent="0.25">
      <c r="A45" s="19"/>
      <c r="B45" s="20"/>
      <c r="C45" s="20"/>
      <c r="D45" s="20"/>
      <c r="E45" s="27"/>
      <c r="F45" s="33"/>
      <c r="G45" s="22"/>
      <c r="H45" s="25"/>
      <c r="I45" s="33"/>
      <c r="J45" s="25"/>
      <c r="K45" s="31"/>
      <c r="M45" s="23"/>
      <c r="N45" s="11"/>
    </row>
    <row r="46" spans="1:14" s="10" customFormat="1" x14ac:dyDescent="0.25">
      <c r="A46" s="19"/>
      <c r="B46" s="20"/>
      <c r="C46" s="20"/>
      <c r="D46" s="20"/>
      <c r="E46" s="27"/>
      <c r="F46" s="33"/>
      <c r="G46" s="22"/>
      <c r="H46" s="25"/>
      <c r="I46" s="33"/>
      <c r="J46" s="25"/>
      <c r="K46" s="31"/>
      <c r="M46" s="23"/>
      <c r="N46" s="11"/>
    </row>
    <row r="47" spans="1:14" s="10" customFormat="1" x14ac:dyDescent="0.25">
      <c r="A47" s="19"/>
      <c r="B47" s="20"/>
      <c r="C47" s="20"/>
      <c r="D47" s="20"/>
      <c r="E47" s="27"/>
      <c r="F47" s="33"/>
      <c r="G47" s="22"/>
      <c r="H47" s="25"/>
      <c r="I47" s="33"/>
      <c r="J47" s="25"/>
      <c r="K47" s="31"/>
      <c r="M47" s="23"/>
      <c r="N47" s="11"/>
    </row>
    <row r="48" spans="1:14" s="10" customFormat="1" x14ac:dyDescent="0.25">
      <c r="A48" s="19"/>
      <c r="B48" s="20"/>
      <c r="C48" s="20"/>
      <c r="D48" s="20"/>
      <c r="E48" s="27"/>
      <c r="F48" s="33"/>
      <c r="G48" s="22"/>
      <c r="H48" s="25"/>
      <c r="I48" s="33"/>
      <c r="J48" s="25"/>
      <c r="K48" s="31"/>
      <c r="M48" s="23"/>
      <c r="N48" s="11"/>
    </row>
    <row r="49" spans="1:14" s="10" customFormat="1" x14ac:dyDescent="0.25">
      <c r="A49" s="19"/>
      <c r="B49" s="20"/>
      <c r="C49" s="20"/>
      <c r="D49" s="20"/>
      <c r="E49" s="27"/>
      <c r="F49" s="33"/>
      <c r="G49" s="22"/>
      <c r="H49" s="25"/>
      <c r="I49" s="33"/>
      <c r="J49" s="25"/>
      <c r="K49" s="31"/>
      <c r="M49" s="23"/>
      <c r="N49" s="11"/>
    </row>
    <row r="50" spans="1:14" s="10" customFormat="1" x14ac:dyDescent="0.25">
      <c r="A50" s="19"/>
      <c r="B50" s="20"/>
      <c r="C50" s="20"/>
      <c r="D50" s="20"/>
      <c r="E50" s="27"/>
      <c r="F50" s="33"/>
      <c r="G50" s="22"/>
      <c r="H50" s="25"/>
      <c r="I50" s="33"/>
      <c r="J50" s="25"/>
      <c r="K50" s="31"/>
      <c r="M50" s="23"/>
      <c r="N50" s="11"/>
    </row>
    <row r="51" spans="1:14" s="10" customFormat="1" x14ac:dyDescent="0.25">
      <c r="A51" s="19"/>
      <c r="B51" s="20"/>
      <c r="C51" s="20"/>
      <c r="D51" s="20"/>
      <c r="E51" s="27"/>
      <c r="F51" s="33"/>
      <c r="G51" s="22"/>
      <c r="H51" s="25"/>
      <c r="I51" s="33"/>
      <c r="J51" s="25"/>
      <c r="K51" s="31"/>
      <c r="M51" s="23"/>
      <c r="N51" s="11"/>
    </row>
    <row r="52" spans="1:14" s="10" customFormat="1" x14ac:dyDescent="0.25">
      <c r="A52" s="19"/>
      <c r="B52" s="20"/>
      <c r="C52" s="20"/>
      <c r="D52" s="20"/>
      <c r="E52" s="27"/>
      <c r="F52" s="33"/>
      <c r="G52" s="22"/>
      <c r="H52" s="25"/>
      <c r="I52" s="33"/>
      <c r="J52" s="25"/>
      <c r="K52" s="31"/>
      <c r="M52" s="23"/>
      <c r="N52" s="11"/>
    </row>
    <row r="53" spans="1:14" s="10" customFormat="1" x14ac:dyDescent="0.25">
      <c r="A53" s="19"/>
      <c r="B53" s="20"/>
      <c r="C53" s="20"/>
      <c r="D53" s="20"/>
      <c r="E53" s="27"/>
      <c r="F53" s="33"/>
      <c r="G53" s="22"/>
      <c r="H53" s="25"/>
      <c r="I53" s="33"/>
      <c r="J53" s="25"/>
      <c r="K53" s="31"/>
      <c r="M53" s="23"/>
      <c r="N53" s="11"/>
    </row>
    <row r="54" spans="1:14" s="10" customFormat="1" x14ac:dyDescent="0.25">
      <c r="A54" s="19"/>
      <c r="B54" s="20"/>
      <c r="C54" s="20"/>
      <c r="D54" s="20"/>
      <c r="E54" s="27"/>
      <c r="F54" s="21"/>
      <c r="G54" s="22"/>
      <c r="H54" s="25"/>
      <c r="I54" s="33"/>
      <c r="J54" s="25"/>
      <c r="K54" s="31"/>
      <c r="M54" s="23"/>
      <c r="N54" s="11"/>
    </row>
    <row r="55" spans="1:14" s="10" customFormat="1" x14ac:dyDescent="0.25">
      <c r="A55" s="19"/>
      <c r="B55" s="20"/>
      <c r="C55" s="20"/>
      <c r="D55" s="20"/>
      <c r="E55" s="27"/>
      <c r="F55" s="21"/>
      <c r="G55" s="22"/>
      <c r="H55" s="25"/>
      <c r="I55" s="33"/>
      <c r="J55" s="25"/>
      <c r="K55" s="31"/>
      <c r="M55" s="23"/>
      <c r="N55" s="11"/>
    </row>
    <row r="56" spans="1:14" s="10" customFormat="1" x14ac:dyDescent="0.25">
      <c r="A56" s="19"/>
      <c r="B56" s="20"/>
      <c r="C56" s="20"/>
      <c r="D56" s="20"/>
      <c r="E56" s="27"/>
      <c r="F56" s="21"/>
      <c r="G56" s="22"/>
      <c r="H56" s="25"/>
      <c r="I56" s="33"/>
      <c r="J56" s="25"/>
      <c r="K56" s="31"/>
      <c r="M56" s="23"/>
      <c r="N56" s="11"/>
    </row>
    <row r="57" spans="1:14" s="10" customFormat="1" x14ac:dyDescent="0.25">
      <c r="A57" s="19"/>
      <c r="B57" s="20"/>
      <c r="C57" s="20"/>
      <c r="D57" s="20"/>
      <c r="E57" s="27"/>
      <c r="F57" s="21"/>
      <c r="G57" s="22"/>
      <c r="H57" s="25"/>
      <c r="I57" s="33"/>
      <c r="J57" s="25"/>
      <c r="K57" s="31"/>
      <c r="M57" s="23"/>
      <c r="N57" s="11"/>
    </row>
    <row r="58" spans="1:14" s="10" customFormat="1" x14ac:dyDescent="0.25">
      <c r="A58" s="19"/>
      <c r="B58" s="20"/>
      <c r="C58" s="20"/>
      <c r="D58" s="20"/>
      <c r="E58" s="27"/>
      <c r="F58" s="21"/>
      <c r="G58" s="22"/>
      <c r="H58" s="25"/>
      <c r="I58" s="33"/>
      <c r="J58" s="25"/>
      <c r="K58" s="31"/>
      <c r="M58" s="23"/>
      <c r="N58" s="11"/>
    </row>
    <row r="59" spans="1:14" s="10" customFormat="1" x14ac:dyDescent="0.25">
      <c r="A59" s="19"/>
      <c r="B59" s="20"/>
      <c r="C59" s="20"/>
      <c r="D59" s="20"/>
      <c r="E59" s="27"/>
      <c r="F59" s="21"/>
      <c r="G59" s="22"/>
      <c r="H59" s="25"/>
      <c r="I59" s="33"/>
      <c r="J59" s="25"/>
      <c r="K59" s="31"/>
      <c r="M59" s="23"/>
      <c r="N59" s="11"/>
    </row>
    <row r="60" spans="1:14" s="10" customFormat="1" x14ac:dyDescent="0.25">
      <c r="A60" s="19"/>
      <c r="B60" s="20"/>
      <c r="C60" s="20"/>
      <c r="D60" s="20"/>
      <c r="E60" s="27"/>
      <c r="F60" s="21"/>
      <c r="G60" s="22"/>
      <c r="H60" s="25"/>
      <c r="I60" s="33"/>
      <c r="J60" s="25"/>
      <c r="K60" s="31"/>
      <c r="M60" s="23"/>
      <c r="N60" s="11"/>
    </row>
    <row r="61" spans="1:14" s="10" customFormat="1" x14ac:dyDescent="0.25">
      <c r="A61" s="19"/>
      <c r="B61" s="20"/>
      <c r="C61" s="20"/>
      <c r="D61" s="20"/>
      <c r="E61" s="27"/>
      <c r="F61" s="21"/>
      <c r="G61" s="22"/>
      <c r="H61" s="25"/>
      <c r="I61" s="33"/>
      <c r="J61" s="25"/>
      <c r="K61" s="31"/>
      <c r="M61" s="23"/>
      <c r="N61" s="11"/>
    </row>
    <row r="62" spans="1:14" s="10" customFormat="1" x14ac:dyDescent="0.25">
      <c r="A62" s="19"/>
      <c r="B62" s="20"/>
      <c r="C62" s="20"/>
      <c r="D62" s="20"/>
      <c r="E62" s="27"/>
      <c r="F62" s="21"/>
      <c r="G62" s="22"/>
      <c r="H62" s="25"/>
      <c r="I62" s="33"/>
      <c r="J62" s="25"/>
      <c r="K62" s="31"/>
      <c r="M62" s="23"/>
      <c r="N62" s="11"/>
    </row>
    <row r="63" spans="1:14" s="10" customFormat="1" x14ac:dyDescent="0.25">
      <c r="A63" s="19"/>
      <c r="B63" s="20"/>
      <c r="C63" s="20"/>
      <c r="D63" s="20"/>
      <c r="E63" s="27"/>
      <c r="F63" s="21"/>
      <c r="G63" s="22"/>
      <c r="H63" s="25"/>
      <c r="I63" s="33"/>
      <c r="J63" s="25"/>
      <c r="K63" s="31"/>
      <c r="M63" s="23"/>
      <c r="N63" s="11"/>
    </row>
    <row r="64" spans="1:14" s="10" customFormat="1" x14ac:dyDescent="0.25">
      <c r="A64" s="19"/>
      <c r="B64" s="20"/>
      <c r="C64" s="20"/>
      <c r="D64" s="20"/>
      <c r="E64" s="27"/>
      <c r="F64" s="21"/>
      <c r="G64" s="22"/>
      <c r="H64" s="25"/>
      <c r="I64" s="33"/>
      <c r="J64" s="25"/>
      <c r="K64" s="31"/>
      <c r="M64" s="23"/>
      <c r="N64" s="11"/>
    </row>
    <row r="65" spans="1:14" s="10" customFormat="1" x14ac:dyDescent="0.25">
      <c r="A65" s="19"/>
      <c r="B65" s="20"/>
      <c r="C65" s="20"/>
      <c r="D65" s="20"/>
      <c r="E65" s="27"/>
      <c r="F65" s="21"/>
      <c r="G65" s="22"/>
      <c r="H65" s="25"/>
      <c r="I65" s="33"/>
      <c r="J65" s="25"/>
      <c r="K65" s="31"/>
      <c r="M65" s="23"/>
      <c r="N65" s="11"/>
    </row>
    <row r="66" spans="1:14" s="10" customFormat="1" x14ac:dyDescent="0.25">
      <c r="A66" s="19"/>
      <c r="B66" s="20"/>
      <c r="C66" s="20"/>
      <c r="D66" s="20"/>
      <c r="E66" s="27"/>
      <c r="F66" s="21"/>
      <c r="G66" s="22"/>
      <c r="H66" s="25"/>
      <c r="I66" s="33"/>
      <c r="J66" s="25"/>
      <c r="K66" s="31"/>
      <c r="M66" s="23"/>
      <c r="N66" s="11"/>
    </row>
    <row r="67" spans="1:14" s="10" customFormat="1" x14ac:dyDescent="0.25">
      <c r="A67" s="19"/>
      <c r="B67" s="20"/>
      <c r="C67" s="20"/>
      <c r="D67" s="20"/>
      <c r="E67" s="27"/>
      <c r="F67" s="21"/>
      <c r="G67" s="22"/>
      <c r="H67" s="25"/>
      <c r="I67" s="33"/>
      <c r="J67" s="25"/>
      <c r="K67" s="31"/>
      <c r="M67" s="23"/>
      <c r="N67" s="11"/>
    </row>
    <row r="68" spans="1:14" s="10" customFormat="1" x14ac:dyDescent="0.25">
      <c r="A68" s="19"/>
      <c r="B68" s="20"/>
      <c r="C68" s="20"/>
      <c r="D68" s="20"/>
      <c r="E68" s="27"/>
      <c r="F68" s="21"/>
      <c r="G68" s="22"/>
      <c r="H68" s="25"/>
      <c r="I68" s="33"/>
      <c r="J68" s="25"/>
      <c r="K68" s="31"/>
      <c r="M68" s="23"/>
      <c r="N68" s="11"/>
    </row>
    <row r="69" spans="1:14" s="10" customFormat="1" x14ac:dyDescent="0.25">
      <c r="A69" s="19"/>
      <c r="B69" s="20"/>
      <c r="C69" s="20"/>
      <c r="D69" s="20"/>
      <c r="E69" s="27"/>
      <c r="F69" s="21"/>
      <c r="G69" s="22"/>
      <c r="H69" s="25"/>
      <c r="I69" s="33"/>
      <c r="J69" s="25"/>
      <c r="K69" s="31"/>
      <c r="M69" s="23"/>
      <c r="N69" s="11"/>
    </row>
    <row r="70" spans="1:14" s="10" customFormat="1" x14ac:dyDescent="0.25">
      <c r="A70" s="19"/>
      <c r="B70" s="20"/>
      <c r="C70" s="20"/>
      <c r="D70" s="20"/>
      <c r="E70" s="27"/>
      <c r="F70" s="21"/>
      <c r="G70" s="22"/>
      <c r="H70" s="25"/>
      <c r="I70" s="33"/>
      <c r="J70" s="25"/>
      <c r="K70" s="31"/>
      <c r="M70" s="23"/>
      <c r="N70" s="11"/>
    </row>
    <row r="71" spans="1:14" s="10" customFormat="1" x14ac:dyDescent="0.25">
      <c r="A71" s="19"/>
      <c r="B71" s="20"/>
      <c r="C71" s="20"/>
      <c r="D71" s="20"/>
      <c r="E71" s="27"/>
      <c r="F71" s="21"/>
      <c r="G71" s="22"/>
      <c r="H71" s="25"/>
      <c r="I71" s="33"/>
      <c r="J71" s="25"/>
      <c r="K71" s="31"/>
      <c r="M71" s="23"/>
      <c r="N71" s="11"/>
    </row>
    <row r="72" spans="1:14" s="10" customFormat="1" x14ac:dyDescent="0.25">
      <c r="A72" s="19"/>
      <c r="B72" s="20"/>
      <c r="C72" s="20"/>
      <c r="D72" s="20"/>
      <c r="E72" s="27"/>
      <c r="F72" s="21"/>
      <c r="G72" s="22"/>
      <c r="H72" s="25"/>
      <c r="I72" s="33"/>
      <c r="J72" s="25"/>
      <c r="K72" s="31"/>
      <c r="M72" s="23"/>
      <c r="N72" s="11"/>
    </row>
    <row r="73" spans="1:14" s="10" customFormat="1" x14ac:dyDescent="0.25">
      <c r="A73" s="19"/>
      <c r="B73" s="20"/>
      <c r="C73" s="20"/>
      <c r="D73" s="20"/>
      <c r="E73" s="27"/>
      <c r="F73" s="21"/>
      <c r="G73" s="22"/>
      <c r="H73" s="25"/>
      <c r="I73" s="33"/>
      <c r="J73" s="25"/>
      <c r="K73" s="31"/>
      <c r="M73" s="23"/>
      <c r="N73" s="11"/>
    </row>
    <row r="74" spans="1:14" s="10" customFormat="1" x14ac:dyDescent="0.25">
      <c r="A74" s="19"/>
      <c r="B74" s="20"/>
      <c r="C74" s="20"/>
      <c r="D74" s="20"/>
      <c r="E74" s="27"/>
      <c r="F74" s="21"/>
      <c r="G74" s="22"/>
      <c r="H74" s="25"/>
      <c r="I74" s="33"/>
      <c r="J74" s="25"/>
      <c r="K74" s="31"/>
      <c r="M74" s="23"/>
      <c r="N74" s="11"/>
    </row>
    <row r="75" spans="1:14" s="10" customFormat="1" x14ac:dyDescent="0.25">
      <c r="A75" s="19"/>
      <c r="B75" s="20"/>
      <c r="C75" s="20"/>
      <c r="D75" s="20"/>
      <c r="E75" s="27"/>
      <c r="F75" s="21"/>
      <c r="G75" s="22"/>
      <c r="H75" s="25"/>
      <c r="I75" s="33"/>
      <c r="J75" s="25"/>
      <c r="K75" s="31"/>
      <c r="M75" s="23"/>
      <c r="N75" s="11"/>
    </row>
    <row r="76" spans="1:14" s="10" customFormat="1" x14ac:dyDescent="0.25">
      <c r="A76" s="19"/>
      <c r="B76" s="20"/>
      <c r="C76" s="20"/>
      <c r="D76" s="20"/>
      <c r="E76" s="27"/>
      <c r="F76" s="21"/>
      <c r="G76" s="22"/>
      <c r="H76" s="25"/>
      <c r="I76" s="33"/>
      <c r="J76" s="25"/>
      <c r="K76" s="31"/>
      <c r="M76" s="23"/>
      <c r="N76" s="11"/>
    </row>
    <row r="77" spans="1:14" s="10" customFormat="1" x14ac:dyDescent="0.25">
      <c r="A77" s="19"/>
      <c r="B77" s="20"/>
      <c r="C77" s="20"/>
      <c r="D77" s="20"/>
      <c r="E77" s="27"/>
      <c r="F77" s="21"/>
      <c r="G77" s="22"/>
      <c r="H77" s="25"/>
      <c r="I77" s="33"/>
      <c r="J77" s="25"/>
      <c r="K77" s="31"/>
      <c r="M77" s="23"/>
      <c r="N77" s="11"/>
    </row>
    <row r="78" spans="1:14" s="10" customFormat="1" x14ac:dyDescent="0.25">
      <c r="A78" s="19"/>
      <c r="B78" s="20"/>
      <c r="C78" s="20"/>
      <c r="D78" s="20"/>
      <c r="E78" s="27"/>
      <c r="F78" s="21"/>
      <c r="G78" s="22"/>
      <c r="H78" s="25"/>
      <c r="I78" s="33"/>
      <c r="J78" s="25"/>
      <c r="K78" s="31"/>
      <c r="M78" s="23"/>
      <c r="N78" s="11"/>
    </row>
    <row r="79" spans="1:14" s="10" customFormat="1" x14ac:dyDescent="0.25">
      <c r="A79" s="19"/>
      <c r="B79" s="20"/>
      <c r="C79" s="20"/>
      <c r="D79" s="20"/>
      <c r="E79" s="27"/>
      <c r="F79" s="21"/>
      <c r="G79" s="22"/>
      <c r="H79" s="25"/>
      <c r="I79" s="33"/>
      <c r="J79" s="25"/>
      <c r="K79" s="31"/>
      <c r="M79" s="23"/>
      <c r="N79" s="11"/>
    </row>
    <row r="80" spans="1:14" s="10" customFormat="1" x14ac:dyDescent="0.25">
      <c r="A80" s="19"/>
      <c r="B80" s="20"/>
      <c r="C80" s="20"/>
      <c r="D80" s="20"/>
      <c r="E80" s="27"/>
      <c r="F80" s="21"/>
      <c r="G80" s="22"/>
      <c r="H80" s="25"/>
      <c r="I80" s="33"/>
      <c r="J80" s="25"/>
      <c r="K80" s="31"/>
      <c r="M80" s="23"/>
      <c r="N80" s="11"/>
    </row>
    <row r="81" spans="1:14" s="10" customFormat="1" x14ac:dyDescent="0.25">
      <c r="A81" s="19"/>
      <c r="B81" s="20"/>
      <c r="C81" s="20"/>
      <c r="D81" s="20"/>
      <c r="E81" s="27"/>
      <c r="F81" s="21"/>
      <c r="G81" s="22"/>
      <c r="H81" s="25"/>
      <c r="I81" s="33"/>
      <c r="J81" s="25"/>
      <c r="K81" s="31"/>
      <c r="M81" s="23"/>
      <c r="N81" s="11"/>
    </row>
    <row r="82" spans="1:14" s="10" customFormat="1" x14ac:dyDescent="0.25">
      <c r="A82" s="19"/>
      <c r="B82" s="20"/>
      <c r="C82" s="20"/>
      <c r="D82" s="20"/>
      <c r="E82" s="27"/>
      <c r="F82" s="21"/>
      <c r="G82" s="22"/>
      <c r="H82" s="25"/>
      <c r="I82" s="33"/>
      <c r="J82" s="25"/>
      <c r="K82" s="31"/>
      <c r="M82" s="23"/>
      <c r="N82" s="11"/>
    </row>
    <row r="83" spans="1:14" s="10" customFormat="1" x14ac:dyDescent="0.25">
      <c r="A83" s="19"/>
      <c r="B83" s="20"/>
      <c r="C83" s="20"/>
      <c r="D83" s="20"/>
      <c r="E83" s="27"/>
      <c r="F83" s="21"/>
      <c r="G83" s="22"/>
      <c r="H83" s="25"/>
      <c r="I83" s="33"/>
      <c r="J83" s="25"/>
      <c r="K83" s="31"/>
      <c r="M83" s="23"/>
      <c r="N83" s="11"/>
    </row>
    <row r="84" spans="1:14" s="10" customFormat="1" x14ac:dyDescent="0.25">
      <c r="A84" s="19"/>
      <c r="B84" s="20"/>
      <c r="C84" s="20"/>
      <c r="D84" s="20"/>
      <c r="E84" s="27"/>
      <c r="F84" s="21"/>
      <c r="G84" s="22"/>
      <c r="H84" s="25"/>
      <c r="I84" s="33"/>
      <c r="J84" s="25"/>
      <c r="K84" s="31"/>
      <c r="M84" s="23"/>
      <c r="N84" s="11"/>
    </row>
    <row r="85" spans="1:14" s="10" customFormat="1" x14ac:dyDescent="0.25">
      <c r="A85" s="19"/>
      <c r="B85" s="20"/>
      <c r="C85" s="20"/>
      <c r="D85" s="20"/>
      <c r="E85" s="27"/>
      <c r="F85" s="21"/>
      <c r="G85" s="22"/>
      <c r="H85" s="25"/>
      <c r="I85" s="33"/>
      <c r="J85" s="25"/>
      <c r="K85" s="31"/>
      <c r="M85" s="23"/>
      <c r="N85" s="11"/>
    </row>
    <row r="86" spans="1:14" s="10" customFormat="1" x14ac:dyDescent="0.25">
      <c r="A86" s="19"/>
      <c r="B86" s="20"/>
      <c r="C86" s="20"/>
      <c r="D86" s="20"/>
      <c r="E86" s="27"/>
      <c r="F86" s="21"/>
      <c r="G86" s="22"/>
      <c r="H86" s="25"/>
      <c r="I86" s="33"/>
      <c r="J86" s="25"/>
      <c r="K86" s="31"/>
      <c r="M86" s="23"/>
      <c r="N86" s="11"/>
    </row>
    <row r="87" spans="1:14" s="10" customFormat="1" x14ac:dyDescent="0.25">
      <c r="A87" s="19"/>
      <c r="B87" s="20"/>
      <c r="C87" s="20"/>
      <c r="D87" s="20"/>
      <c r="E87" s="27"/>
      <c r="F87" s="21"/>
      <c r="G87" s="22"/>
      <c r="H87" s="25"/>
      <c r="I87" s="33"/>
      <c r="J87" s="25"/>
      <c r="K87" s="31"/>
      <c r="M87" s="23"/>
      <c r="N87" s="11"/>
    </row>
    <row r="88" spans="1:14" s="10" customFormat="1" x14ac:dyDescent="0.25">
      <c r="A88" s="19"/>
      <c r="B88" s="20"/>
      <c r="C88" s="20"/>
      <c r="D88" s="20"/>
      <c r="E88" s="27"/>
      <c r="F88" s="21"/>
      <c r="G88" s="22"/>
      <c r="H88" s="25"/>
      <c r="I88" s="33"/>
      <c r="J88" s="25"/>
      <c r="K88" s="31"/>
      <c r="M88" s="23"/>
      <c r="N88" s="11"/>
    </row>
    <row r="89" spans="1:14" s="10" customFormat="1" x14ac:dyDescent="0.25">
      <c r="A89" s="19"/>
      <c r="B89" s="20"/>
      <c r="C89" s="20"/>
      <c r="D89" s="20"/>
      <c r="E89" s="27"/>
      <c r="F89" s="21"/>
      <c r="G89" s="22"/>
      <c r="H89" s="25"/>
      <c r="I89" s="33"/>
      <c r="J89" s="25"/>
      <c r="K89" s="31"/>
      <c r="M89" s="23"/>
      <c r="N89" s="11"/>
    </row>
    <row r="90" spans="1:14" s="10" customFormat="1" x14ac:dyDescent="0.25">
      <c r="A90" s="19"/>
      <c r="B90" s="20"/>
      <c r="C90" s="20"/>
      <c r="D90" s="20"/>
      <c r="E90" s="27"/>
      <c r="F90" s="21"/>
      <c r="G90" s="22"/>
      <c r="H90" s="25"/>
      <c r="I90" s="33"/>
      <c r="J90" s="25"/>
      <c r="K90" s="31"/>
      <c r="M90" s="23"/>
      <c r="N90" s="11"/>
    </row>
    <row r="91" spans="1:14" s="10" customFormat="1" x14ac:dyDescent="0.25">
      <c r="A91" s="19"/>
      <c r="B91" s="20"/>
      <c r="C91" s="20"/>
      <c r="D91" s="20"/>
      <c r="E91" s="27"/>
      <c r="F91" s="21"/>
      <c r="G91" s="22"/>
      <c r="H91" s="25"/>
      <c r="I91" s="33"/>
      <c r="J91" s="25"/>
      <c r="K91" s="31"/>
      <c r="M91" s="23"/>
      <c r="N91" s="11"/>
    </row>
    <row r="92" spans="1:14" s="10" customFormat="1" x14ac:dyDescent="0.25">
      <c r="A92" s="19"/>
      <c r="B92" s="20"/>
      <c r="C92" s="20"/>
      <c r="D92" s="20"/>
      <c r="E92" s="27"/>
      <c r="F92" s="21"/>
      <c r="G92" s="22"/>
      <c r="H92" s="25"/>
      <c r="I92" s="33"/>
      <c r="J92" s="25"/>
      <c r="K92" s="31"/>
      <c r="M92" s="23"/>
      <c r="N92" s="11"/>
    </row>
    <row r="93" spans="1:14" s="10" customFormat="1" x14ac:dyDescent="0.25">
      <c r="A93" s="19"/>
      <c r="B93" s="20"/>
      <c r="C93" s="20"/>
      <c r="D93" s="20"/>
      <c r="E93" s="27"/>
      <c r="F93" s="21"/>
      <c r="G93" s="22"/>
      <c r="H93" s="25"/>
      <c r="I93" s="33"/>
      <c r="J93" s="25"/>
      <c r="K93" s="31"/>
      <c r="M93" s="23"/>
      <c r="N93" s="11"/>
    </row>
    <row r="94" spans="1:14" s="10" customFormat="1" x14ac:dyDescent="0.25">
      <c r="A94" s="19"/>
      <c r="B94" s="20"/>
      <c r="C94" s="20"/>
      <c r="D94" s="20"/>
      <c r="E94" s="27"/>
      <c r="F94" s="21"/>
      <c r="G94" s="22"/>
      <c r="H94" s="25"/>
      <c r="I94" s="33"/>
      <c r="J94" s="25"/>
      <c r="K94" s="31"/>
      <c r="M94" s="23"/>
      <c r="N94" s="11"/>
    </row>
    <row r="95" spans="1:14" s="10" customFormat="1" x14ac:dyDescent="0.25">
      <c r="A95" s="19"/>
      <c r="B95" s="20"/>
      <c r="C95" s="20"/>
      <c r="D95" s="20"/>
      <c r="E95" s="27"/>
      <c r="F95" s="21"/>
      <c r="G95" s="22"/>
      <c r="H95" s="25"/>
      <c r="I95" s="33"/>
      <c r="J95" s="25"/>
      <c r="K95" s="31"/>
      <c r="M95" s="23"/>
      <c r="N95" s="11"/>
    </row>
    <row r="96" spans="1:14" s="10" customFormat="1" x14ac:dyDescent="0.25">
      <c r="A96" s="19"/>
      <c r="B96" s="20"/>
      <c r="C96" s="20"/>
      <c r="D96" s="20"/>
      <c r="E96" s="27"/>
      <c r="F96" s="21"/>
      <c r="G96" s="22"/>
      <c r="H96" s="25"/>
      <c r="I96" s="33"/>
      <c r="J96" s="25"/>
      <c r="K96" s="31"/>
      <c r="M96" s="23"/>
      <c r="N96" s="11"/>
    </row>
    <row r="97" spans="1:14" s="10" customFormat="1" x14ac:dyDescent="0.25">
      <c r="A97" s="19"/>
      <c r="B97" s="20"/>
      <c r="C97" s="20"/>
      <c r="D97" s="20"/>
      <c r="E97" s="27"/>
      <c r="F97" s="21"/>
      <c r="G97" s="22"/>
      <c r="H97" s="25"/>
      <c r="I97" s="33"/>
      <c r="J97" s="25"/>
      <c r="K97" s="31"/>
      <c r="M97" s="23"/>
      <c r="N97" s="11"/>
    </row>
    <row r="98" spans="1:14" s="10" customFormat="1" x14ac:dyDescent="0.25">
      <c r="A98" s="19"/>
      <c r="B98" s="20"/>
      <c r="C98" s="20"/>
      <c r="D98" s="20"/>
      <c r="E98" s="27"/>
      <c r="F98" s="21"/>
      <c r="G98" s="22"/>
      <c r="H98" s="25"/>
      <c r="I98" s="33"/>
      <c r="J98" s="25"/>
      <c r="K98" s="31"/>
      <c r="M98" s="23"/>
      <c r="N98" s="11"/>
    </row>
    <row r="99" spans="1:14" s="10" customFormat="1" x14ac:dyDescent="0.25">
      <c r="A99" s="19"/>
      <c r="B99" s="20"/>
      <c r="C99" s="20"/>
      <c r="D99" s="20"/>
      <c r="E99" s="27"/>
      <c r="F99" s="21"/>
      <c r="G99" s="22"/>
      <c r="H99" s="25"/>
      <c r="I99" s="33"/>
      <c r="J99" s="25"/>
      <c r="K99" s="31"/>
      <c r="M99" s="23"/>
      <c r="N99" s="11"/>
    </row>
    <row r="100" spans="1:14" s="10" customFormat="1" x14ac:dyDescent="0.25">
      <c r="A100" s="19"/>
      <c r="B100" s="20"/>
      <c r="C100" s="20"/>
      <c r="D100" s="20"/>
      <c r="E100" s="27"/>
      <c r="F100" s="21"/>
      <c r="G100" s="22"/>
      <c r="H100" s="25"/>
      <c r="I100" s="33"/>
      <c r="J100" s="25"/>
      <c r="K100" s="31"/>
      <c r="M100" s="23"/>
      <c r="N100" s="11"/>
    </row>
    <row r="101" spans="1:14" s="10" customFormat="1" x14ac:dyDescent="0.25">
      <c r="A101" s="19"/>
      <c r="B101" s="20"/>
      <c r="C101" s="20"/>
      <c r="D101" s="20"/>
      <c r="E101" s="27"/>
      <c r="F101" s="21"/>
      <c r="G101" s="22"/>
      <c r="H101" s="25"/>
      <c r="I101" s="33"/>
      <c r="J101" s="25"/>
      <c r="K101" s="31"/>
      <c r="M101" s="23"/>
      <c r="N101" s="11"/>
    </row>
    <row r="102" spans="1:14" s="10" customFormat="1" x14ac:dyDescent="0.25">
      <c r="A102" s="19"/>
      <c r="B102" s="20"/>
      <c r="C102" s="20"/>
      <c r="D102" s="20"/>
      <c r="E102" s="27"/>
      <c r="F102" s="21"/>
      <c r="G102" s="22"/>
      <c r="H102" s="25"/>
      <c r="I102" s="33"/>
      <c r="J102" s="25"/>
      <c r="K102" s="31"/>
      <c r="M102" s="23"/>
      <c r="N102" s="11"/>
    </row>
    <row r="103" spans="1:14" s="10" customFormat="1" x14ac:dyDescent="0.25">
      <c r="A103" s="19"/>
      <c r="B103" s="20"/>
      <c r="C103" s="20"/>
      <c r="D103" s="20"/>
      <c r="E103" s="27"/>
      <c r="F103" s="21"/>
      <c r="G103" s="22"/>
      <c r="H103" s="25"/>
      <c r="I103" s="33"/>
      <c r="J103" s="25"/>
      <c r="K103" s="31"/>
      <c r="M103" s="23"/>
      <c r="N103" s="11"/>
    </row>
    <row r="104" spans="1:14" s="10" customFormat="1" x14ac:dyDescent="0.25">
      <c r="A104" s="19"/>
      <c r="B104" s="20"/>
      <c r="C104" s="20"/>
      <c r="D104" s="20"/>
      <c r="E104" s="27"/>
      <c r="F104" s="21"/>
      <c r="G104" s="22"/>
      <c r="H104" s="25"/>
      <c r="I104" s="33"/>
      <c r="J104" s="25"/>
      <c r="K104" s="31"/>
      <c r="M104" s="23"/>
      <c r="N104" s="11"/>
    </row>
    <row r="105" spans="1:14" s="10" customFormat="1" x14ac:dyDescent="0.25">
      <c r="A105" s="19"/>
      <c r="B105" s="20"/>
      <c r="C105" s="20"/>
      <c r="D105" s="20"/>
      <c r="E105" s="27"/>
      <c r="F105" s="21"/>
      <c r="G105" s="22"/>
      <c r="H105" s="25"/>
      <c r="I105" s="33"/>
      <c r="J105" s="25"/>
      <c r="K105" s="31"/>
      <c r="M105" s="23"/>
      <c r="N105" s="11"/>
    </row>
    <row r="106" spans="1:14" s="10" customFormat="1" x14ac:dyDescent="0.25">
      <c r="A106" s="19"/>
      <c r="B106" s="20"/>
      <c r="C106" s="20"/>
      <c r="D106" s="20"/>
      <c r="E106" s="27"/>
      <c r="F106" s="21"/>
      <c r="G106" s="22"/>
      <c r="H106" s="25"/>
      <c r="I106" s="33"/>
      <c r="J106" s="25"/>
      <c r="K106" s="31"/>
      <c r="M106" s="23"/>
      <c r="N106" s="11"/>
    </row>
    <row r="107" spans="1:14" s="10" customFormat="1" x14ac:dyDescent="0.25">
      <c r="A107" s="19"/>
      <c r="B107" s="20"/>
      <c r="C107" s="20"/>
      <c r="D107" s="20"/>
      <c r="E107" s="27"/>
      <c r="F107" s="21"/>
      <c r="G107" s="22"/>
      <c r="H107" s="25"/>
      <c r="I107" s="33"/>
      <c r="J107" s="25"/>
      <c r="K107" s="31"/>
      <c r="M107" s="23"/>
      <c r="N107" s="11"/>
    </row>
    <row r="108" spans="1:14" s="10" customFormat="1" x14ac:dyDescent="0.25">
      <c r="A108" s="19"/>
      <c r="B108" s="20"/>
      <c r="C108" s="20"/>
      <c r="D108" s="20"/>
      <c r="E108" s="27"/>
      <c r="F108" s="21"/>
      <c r="G108" s="22"/>
      <c r="H108" s="25"/>
      <c r="I108" s="33"/>
      <c r="J108" s="25"/>
      <c r="K108" s="31"/>
      <c r="M108" s="23"/>
      <c r="N108" s="11"/>
    </row>
    <row r="109" spans="1:14" s="10" customFormat="1" x14ac:dyDescent="0.25">
      <c r="A109" s="19"/>
      <c r="B109" s="20"/>
      <c r="C109" s="20"/>
      <c r="D109" s="20"/>
      <c r="E109" s="27"/>
      <c r="F109" s="21"/>
      <c r="G109" s="22"/>
      <c r="H109" s="25"/>
      <c r="I109" s="33"/>
      <c r="J109" s="25"/>
      <c r="K109" s="31"/>
      <c r="M109" s="23"/>
      <c r="N109" s="11"/>
    </row>
    <row r="110" spans="1:14" s="10" customFormat="1" x14ac:dyDescent="0.25">
      <c r="A110" s="19"/>
      <c r="B110" s="20"/>
      <c r="C110" s="20"/>
      <c r="D110" s="20"/>
      <c r="E110" s="27"/>
      <c r="F110" s="21"/>
      <c r="G110" s="22"/>
      <c r="H110" s="25"/>
      <c r="I110" s="33"/>
      <c r="J110" s="25"/>
      <c r="K110" s="31"/>
      <c r="M110" s="23"/>
      <c r="N110" s="11"/>
    </row>
    <row r="111" spans="1:14" s="10" customFormat="1" x14ac:dyDescent="0.25">
      <c r="A111" s="19"/>
      <c r="B111" s="20"/>
      <c r="C111" s="20"/>
      <c r="D111" s="20"/>
      <c r="E111" s="27"/>
      <c r="F111" s="21"/>
      <c r="G111" s="22"/>
      <c r="H111" s="25"/>
      <c r="I111" s="33"/>
      <c r="J111" s="25"/>
      <c r="K111" s="31"/>
      <c r="M111" s="23"/>
      <c r="N111" s="11"/>
    </row>
    <row r="112" spans="1:14" s="10" customFormat="1" x14ac:dyDescent="0.25">
      <c r="A112" s="19"/>
      <c r="B112" s="20"/>
      <c r="C112" s="20"/>
      <c r="D112" s="20"/>
      <c r="E112" s="27"/>
      <c r="F112" s="21"/>
      <c r="G112" s="22"/>
      <c r="H112" s="25"/>
      <c r="I112" s="33"/>
      <c r="J112" s="25"/>
      <c r="K112" s="31"/>
      <c r="M112" s="23"/>
      <c r="N112" s="11"/>
    </row>
    <row r="113" spans="1:14" s="10" customFormat="1" x14ac:dyDescent="0.25">
      <c r="A113" s="19"/>
      <c r="B113" s="20"/>
      <c r="C113" s="20"/>
      <c r="D113" s="20"/>
      <c r="E113" s="27"/>
      <c r="F113" s="21"/>
      <c r="G113" s="22"/>
      <c r="H113" s="25"/>
      <c r="I113" s="33"/>
      <c r="J113" s="25"/>
      <c r="K113" s="31"/>
      <c r="M113" s="23"/>
      <c r="N113" s="11"/>
    </row>
    <row r="114" spans="1:14" s="10" customFormat="1" x14ac:dyDescent="0.25">
      <c r="A114" s="19"/>
      <c r="B114" s="20"/>
      <c r="C114" s="20"/>
      <c r="D114" s="20"/>
      <c r="E114" s="27"/>
      <c r="F114" s="21"/>
      <c r="G114" s="22"/>
      <c r="H114" s="25"/>
      <c r="I114" s="33"/>
      <c r="J114" s="25"/>
      <c r="K114" s="31"/>
      <c r="M114" s="23"/>
      <c r="N114" s="11"/>
    </row>
    <row r="115" spans="1:14" s="10" customFormat="1" x14ac:dyDescent="0.25">
      <c r="A115" s="19"/>
      <c r="B115" s="20"/>
      <c r="C115" s="20"/>
      <c r="D115" s="20"/>
      <c r="E115" s="27"/>
      <c r="F115" s="21"/>
      <c r="G115" s="22"/>
      <c r="H115" s="25"/>
      <c r="I115" s="33"/>
      <c r="J115" s="25"/>
      <c r="K115" s="31"/>
      <c r="M115" s="23"/>
      <c r="N115" s="11"/>
    </row>
    <row r="116" spans="1:14" s="10" customFormat="1" x14ac:dyDescent="0.25">
      <c r="A116" s="19"/>
      <c r="B116" s="20"/>
      <c r="C116" s="20"/>
      <c r="D116" s="20"/>
      <c r="E116" s="27"/>
      <c r="F116" s="21"/>
      <c r="G116" s="22"/>
      <c r="H116" s="25"/>
      <c r="I116" s="33"/>
      <c r="J116" s="25"/>
      <c r="K116" s="31"/>
      <c r="M116" s="23"/>
      <c r="N116" s="11"/>
    </row>
    <row r="117" spans="1:14" s="10" customFormat="1" x14ac:dyDescent="0.25">
      <c r="A117" s="19"/>
      <c r="B117" s="20"/>
      <c r="C117" s="20"/>
      <c r="D117" s="20"/>
      <c r="E117" s="27"/>
      <c r="F117" s="21"/>
      <c r="G117" s="22"/>
      <c r="H117" s="25"/>
      <c r="I117" s="33"/>
      <c r="J117" s="25"/>
      <c r="K117" s="31"/>
      <c r="M117" s="23"/>
      <c r="N117" s="11"/>
    </row>
    <row r="118" spans="1:14" s="10" customFormat="1" x14ac:dyDescent="0.25">
      <c r="A118" s="19"/>
      <c r="B118" s="20"/>
      <c r="C118" s="20"/>
      <c r="D118" s="20"/>
      <c r="E118" s="27"/>
      <c r="F118" s="21"/>
      <c r="G118" s="22"/>
      <c r="H118" s="25"/>
      <c r="I118" s="33"/>
      <c r="J118" s="25"/>
      <c r="K118" s="31"/>
      <c r="M118" s="23"/>
      <c r="N118" s="11"/>
    </row>
    <row r="119" spans="1:14" s="10" customFormat="1" x14ac:dyDescent="0.25">
      <c r="A119" s="19"/>
      <c r="B119" s="20"/>
      <c r="C119" s="20"/>
      <c r="D119" s="20"/>
      <c r="E119" s="27"/>
      <c r="F119" s="21"/>
      <c r="G119" s="22"/>
      <c r="H119" s="25"/>
      <c r="I119" s="33"/>
      <c r="J119" s="25"/>
      <c r="K119" s="31"/>
      <c r="M119" s="23"/>
      <c r="N119" s="11"/>
    </row>
    <row r="120" spans="1:14" s="10" customFormat="1" x14ac:dyDescent="0.25">
      <c r="A120" s="19"/>
      <c r="B120" s="20"/>
      <c r="C120" s="20"/>
      <c r="D120" s="20"/>
      <c r="E120" s="27"/>
      <c r="F120" s="21"/>
      <c r="G120" s="22"/>
      <c r="H120" s="25"/>
      <c r="I120" s="33"/>
      <c r="J120" s="25"/>
      <c r="K120" s="31"/>
      <c r="M120" s="23"/>
      <c r="N120" s="11"/>
    </row>
    <row r="121" spans="1:14" s="10" customFormat="1" x14ac:dyDescent="0.25">
      <c r="A121" s="19"/>
      <c r="B121" s="20"/>
      <c r="C121" s="20"/>
      <c r="D121" s="20"/>
      <c r="E121" s="27"/>
      <c r="F121" s="21"/>
      <c r="G121" s="22"/>
      <c r="H121" s="25"/>
      <c r="I121" s="33"/>
      <c r="J121" s="25"/>
      <c r="K121" s="31"/>
      <c r="M121" s="23"/>
      <c r="N121" s="11"/>
    </row>
    <row r="122" spans="1:14" s="10" customFormat="1" x14ac:dyDescent="0.25">
      <c r="A122" s="19"/>
      <c r="B122" s="20"/>
      <c r="C122" s="20"/>
      <c r="D122" s="20"/>
      <c r="E122" s="27"/>
      <c r="F122" s="21"/>
      <c r="G122" s="22"/>
      <c r="H122" s="25"/>
      <c r="I122" s="33"/>
      <c r="J122" s="25"/>
      <c r="K122" s="31"/>
      <c r="M122" s="23"/>
      <c r="N122" s="11"/>
    </row>
    <row r="123" spans="1:14" s="10" customFormat="1" x14ac:dyDescent="0.25">
      <c r="A123" s="19"/>
      <c r="B123" s="20"/>
      <c r="C123" s="20"/>
      <c r="D123" s="20"/>
      <c r="E123" s="27"/>
      <c r="F123" s="21"/>
      <c r="G123" s="22"/>
      <c r="H123" s="25"/>
      <c r="I123" s="33"/>
      <c r="J123" s="25"/>
      <c r="K123" s="31"/>
      <c r="M123" s="23"/>
      <c r="N123" s="11"/>
    </row>
    <row r="124" spans="1:14" s="10" customFormat="1" x14ac:dyDescent="0.25">
      <c r="A124" s="19"/>
      <c r="B124" s="20"/>
      <c r="C124" s="20"/>
      <c r="D124" s="20"/>
      <c r="E124" s="27"/>
      <c r="F124" s="21"/>
      <c r="G124" s="22"/>
      <c r="H124" s="25"/>
      <c r="I124" s="33"/>
      <c r="J124" s="25"/>
      <c r="K124" s="31"/>
      <c r="M124" s="23"/>
      <c r="N124" s="11"/>
    </row>
    <row r="125" spans="1:14" s="10" customFormat="1" x14ac:dyDescent="0.25">
      <c r="A125" s="19"/>
      <c r="B125" s="20"/>
      <c r="C125" s="20"/>
      <c r="D125" s="20"/>
      <c r="E125" s="27"/>
      <c r="F125" s="21"/>
      <c r="G125" s="22"/>
      <c r="H125" s="25"/>
      <c r="I125" s="33"/>
      <c r="J125" s="25"/>
      <c r="K125" s="31"/>
      <c r="M125" s="23"/>
      <c r="N125" s="11"/>
    </row>
    <row r="126" spans="1:14" s="10" customFormat="1" x14ac:dyDescent="0.25">
      <c r="A126" s="19"/>
      <c r="B126" s="20"/>
      <c r="C126" s="20"/>
      <c r="D126" s="20"/>
      <c r="E126" s="27"/>
      <c r="F126" s="21"/>
      <c r="G126" s="22"/>
      <c r="H126" s="25"/>
      <c r="I126" s="33"/>
      <c r="J126" s="25"/>
      <c r="K126" s="31"/>
      <c r="M126" s="23"/>
      <c r="N126" s="11"/>
    </row>
    <row r="127" spans="1:14" s="10" customFormat="1" x14ac:dyDescent="0.25">
      <c r="A127" s="19"/>
      <c r="B127" s="20"/>
      <c r="C127" s="20"/>
      <c r="D127" s="20"/>
      <c r="E127" s="27"/>
      <c r="F127" s="21"/>
      <c r="G127" s="22"/>
      <c r="H127" s="25"/>
      <c r="I127" s="33"/>
      <c r="J127" s="25"/>
      <c r="K127" s="31"/>
      <c r="M127" s="23"/>
      <c r="N127" s="11"/>
    </row>
    <row r="128" spans="1:14" s="10" customFormat="1" x14ac:dyDescent="0.25">
      <c r="A128" s="19"/>
      <c r="B128" s="20"/>
      <c r="C128" s="20"/>
      <c r="D128" s="20"/>
      <c r="E128" s="27"/>
      <c r="F128" s="21"/>
      <c r="G128" s="22"/>
      <c r="H128" s="25"/>
      <c r="I128" s="33"/>
      <c r="J128" s="25"/>
      <c r="K128" s="31"/>
      <c r="M128" s="23"/>
      <c r="N128" s="11"/>
    </row>
    <row r="129" spans="1:14" s="10" customFormat="1" x14ac:dyDescent="0.25">
      <c r="A129" s="19"/>
      <c r="B129" s="20"/>
      <c r="C129" s="20"/>
      <c r="D129" s="20"/>
      <c r="E129" s="27"/>
      <c r="F129" s="21"/>
      <c r="G129" s="22"/>
      <c r="H129" s="25"/>
      <c r="I129" s="33"/>
      <c r="J129" s="25"/>
      <c r="K129" s="31"/>
      <c r="M129" s="23"/>
      <c r="N129" s="11"/>
    </row>
    <row r="130" spans="1:14" s="10" customFormat="1" x14ac:dyDescent="0.25">
      <c r="A130" s="19"/>
      <c r="B130" s="20"/>
      <c r="C130" s="20"/>
      <c r="D130" s="20"/>
      <c r="E130" s="27"/>
      <c r="F130" s="21"/>
      <c r="G130" s="22"/>
      <c r="H130" s="25"/>
      <c r="I130" s="33"/>
      <c r="J130" s="25"/>
      <c r="K130" s="31"/>
      <c r="M130" s="23"/>
      <c r="N130" s="11"/>
    </row>
    <row r="131" spans="1:14" s="10" customFormat="1" x14ac:dyDescent="0.25">
      <c r="A131" s="19"/>
      <c r="B131" s="20"/>
      <c r="C131" s="20"/>
      <c r="D131" s="20"/>
      <c r="E131" s="27"/>
      <c r="F131" s="21"/>
      <c r="G131" s="22"/>
      <c r="H131" s="25"/>
      <c r="I131" s="33"/>
      <c r="J131" s="25"/>
      <c r="K131" s="31"/>
      <c r="M131" s="23"/>
      <c r="N131" s="11"/>
    </row>
    <row r="132" spans="1:14" s="10" customFormat="1" x14ac:dyDescent="0.25">
      <c r="A132" s="19"/>
      <c r="B132" s="20"/>
      <c r="C132" s="20"/>
      <c r="D132" s="20"/>
      <c r="E132" s="27"/>
      <c r="F132" s="21"/>
      <c r="G132" s="22"/>
      <c r="H132" s="25"/>
      <c r="I132" s="33"/>
      <c r="J132" s="25"/>
      <c r="K132" s="31"/>
      <c r="M132" s="23"/>
      <c r="N132" s="11"/>
    </row>
    <row r="133" spans="1:14" s="10" customFormat="1" x14ac:dyDescent="0.25">
      <c r="A133" s="19"/>
      <c r="B133" s="20"/>
      <c r="C133" s="20"/>
      <c r="D133" s="20"/>
      <c r="E133" s="27"/>
      <c r="F133" s="21"/>
      <c r="G133" s="22"/>
      <c r="H133" s="25"/>
      <c r="I133" s="33"/>
      <c r="J133" s="25"/>
      <c r="K133" s="31"/>
      <c r="M133" s="23"/>
      <c r="N133" s="11"/>
    </row>
    <row r="134" spans="1:14" s="10" customFormat="1" x14ac:dyDescent="0.25">
      <c r="A134" s="19"/>
      <c r="B134" s="20"/>
      <c r="C134" s="20"/>
      <c r="D134" s="20"/>
      <c r="E134" s="27"/>
      <c r="F134" s="21"/>
      <c r="G134" s="22"/>
      <c r="H134" s="25"/>
      <c r="I134" s="33"/>
      <c r="J134" s="25"/>
      <c r="K134" s="31"/>
      <c r="M134" s="23"/>
      <c r="N134" s="11"/>
    </row>
    <row r="135" spans="1:14" s="10" customFormat="1" x14ac:dyDescent="0.25">
      <c r="A135" s="19"/>
      <c r="B135" s="20"/>
      <c r="C135" s="20"/>
      <c r="D135" s="20"/>
      <c r="E135" s="27"/>
      <c r="F135" s="21"/>
      <c r="G135" s="22"/>
      <c r="H135" s="25"/>
      <c r="I135" s="33"/>
      <c r="J135" s="25"/>
      <c r="K135" s="31"/>
      <c r="M135" s="23"/>
      <c r="N135" s="11"/>
    </row>
    <row r="136" spans="1:14" s="10" customFormat="1" x14ac:dyDescent="0.25">
      <c r="A136" s="19"/>
      <c r="B136" s="20"/>
      <c r="C136" s="20"/>
      <c r="D136" s="20"/>
      <c r="E136" s="27"/>
      <c r="F136" s="21"/>
      <c r="G136" s="22"/>
      <c r="H136" s="25"/>
      <c r="I136" s="33"/>
      <c r="J136" s="25"/>
      <c r="K136" s="31"/>
      <c r="M136" s="23"/>
      <c r="N136" s="11"/>
    </row>
    <row r="137" spans="1:14" s="10" customFormat="1" x14ac:dyDescent="0.25">
      <c r="A137" s="19"/>
      <c r="B137" s="20"/>
      <c r="C137" s="20"/>
      <c r="D137" s="20"/>
      <c r="E137" s="27"/>
      <c r="F137" s="21"/>
      <c r="G137" s="22"/>
      <c r="H137" s="25"/>
      <c r="I137" s="33"/>
      <c r="J137" s="25"/>
      <c r="K137" s="31"/>
      <c r="M137" s="23"/>
      <c r="N137" s="11"/>
    </row>
    <row r="138" spans="1:14" s="10" customFormat="1" x14ac:dyDescent="0.25">
      <c r="A138" s="19"/>
      <c r="B138" s="20"/>
      <c r="C138" s="20"/>
      <c r="D138" s="20"/>
      <c r="E138" s="27"/>
      <c r="F138" s="21"/>
      <c r="G138" s="22"/>
      <c r="H138" s="25"/>
      <c r="I138" s="33"/>
      <c r="J138" s="25"/>
      <c r="K138" s="31"/>
      <c r="M138" s="23"/>
      <c r="N138" s="11"/>
    </row>
    <row r="139" spans="1:14" s="10" customFormat="1" x14ac:dyDescent="0.25">
      <c r="A139" s="19"/>
      <c r="B139" s="20"/>
      <c r="C139" s="20"/>
      <c r="D139" s="20"/>
      <c r="E139" s="27"/>
      <c r="F139" s="21"/>
      <c r="G139" s="22"/>
      <c r="H139" s="25"/>
      <c r="I139" s="33"/>
      <c r="J139" s="25"/>
      <c r="K139" s="31"/>
      <c r="M139" s="23"/>
      <c r="N139" s="11"/>
    </row>
    <row r="140" spans="1:14" s="10" customFormat="1" x14ac:dyDescent="0.25">
      <c r="A140" s="19"/>
      <c r="B140" s="20"/>
      <c r="C140" s="20"/>
      <c r="D140" s="20"/>
      <c r="E140" s="27"/>
      <c r="F140" s="21"/>
      <c r="G140" s="22"/>
      <c r="H140" s="25"/>
      <c r="I140" s="33"/>
      <c r="J140" s="25"/>
      <c r="K140" s="31"/>
      <c r="M140" s="23"/>
      <c r="N140" s="11"/>
    </row>
    <row r="141" spans="1:14" s="10" customFormat="1" x14ac:dyDescent="0.25">
      <c r="A141" s="19"/>
      <c r="B141" s="20"/>
      <c r="C141" s="20"/>
      <c r="D141" s="20"/>
      <c r="E141" s="27"/>
      <c r="F141" s="21"/>
      <c r="G141" s="22"/>
      <c r="H141" s="25"/>
      <c r="I141" s="33"/>
      <c r="J141" s="25"/>
      <c r="K141" s="31"/>
      <c r="M141" s="23"/>
      <c r="N141" s="11"/>
    </row>
    <row r="142" spans="1:14" s="10" customFormat="1" x14ac:dyDescent="0.25">
      <c r="A142" s="19"/>
      <c r="B142" s="20"/>
      <c r="C142" s="20"/>
      <c r="D142" s="20"/>
      <c r="E142" s="27"/>
      <c r="F142" s="21"/>
      <c r="G142" s="22"/>
      <c r="H142" s="25"/>
      <c r="I142" s="33"/>
      <c r="J142" s="25"/>
      <c r="K142" s="31"/>
      <c r="M142" s="23"/>
      <c r="N142" s="11"/>
    </row>
    <row r="143" spans="1:14" s="10" customFormat="1" x14ac:dyDescent="0.25">
      <c r="A143" s="19"/>
      <c r="B143" s="20"/>
      <c r="C143" s="20"/>
      <c r="D143" s="20"/>
      <c r="E143" s="27"/>
      <c r="F143" s="21"/>
      <c r="G143" s="22"/>
      <c r="H143" s="25"/>
      <c r="I143" s="33"/>
      <c r="J143" s="25"/>
      <c r="K143" s="31"/>
      <c r="M143" s="23"/>
      <c r="N143" s="11"/>
    </row>
    <row r="144" spans="1:14" s="10" customFormat="1" x14ac:dyDescent="0.25">
      <c r="A144" s="19"/>
      <c r="B144" s="20"/>
      <c r="C144" s="20"/>
      <c r="D144" s="20"/>
      <c r="E144" s="27"/>
      <c r="F144" s="21"/>
      <c r="G144" s="22"/>
      <c r="H144" s="25"/>
      <c r="I144" s="33"/>
      <c r="J144" s="25"/>
      <c r="K144" s="31"/>
      <c r="M144" s="23"/>
      <c r="N144" s="11"/>
    </row>
    <row r="145" spans="1:14" s="10" customFormat="1" x14ac:dyDescent="0.25">
      <c r="A145" s="19"/>
      <c r="B145" s="20"/>
      <c r="C145" s="20"/>
      <c r="D145" s="20"/>
      <c r="E145" s="27"/>
      <c r="F145" s="21"/>
      <c r="G145" s="22"/>
      <c r="H145" s="25"/>
      <c r="I145" s="33"/>
      <c r="J145" s="25"/>
      <c r="K145" s="31"/>
      <c r="M145" s="23"/>
      <c r="N145" s="11"/>
    </row>
    <row r="146" spans="1:14" s="10" customFormat="1" x14ac:dyDescent="0.25">
      <c r="A146" s="19"/>
      <c r="B146" s="20"/>
      <c r="C146" s="20"/>
      <c r="D146" s="20"/>
      <c r="E146" s="27"/>
      <c r="F146" s="21"/>
      <c r="G146" s="22"/>
      <c r="H146" s="25"/>
      <c r="I146" s="33"/>
      <c r="J146" s="25"/>
      <c r="K146" s="31"/>
      <c r="M146" s="23"/>
      <c r="N146" s="11"/>
    </row>
    <row r="147" spans="1:14" s="10" customFormat="1" x14ac:dyDescent="0.25">
      <c r="A147" s="19"/>
      <c r="B147" s="20"/>
      <c r="C147" s="20"/>
      <c r="D147" s="20"/>
      <c r="E147" s="27"/>
      <c r="F147" s="21"/>
      <c r="G147" s="22"/>
      <c r="H147" s="25"/>
      <c r="I147" s="33"/>
      <c r="J147" s="25"/>
      <c r="K147" s="31"/>
      <c r="M147" s="23"/>
      <c r="N147" s="11"/>
    </row>
    <row r="148" spans="1:14" s="10" customFormat="1" x14ac:dyDescent="0.25">
      <c r="A148" s="19"/>
      <c r="B148" s="20"/>
      <c r="C148" s="20"/>
      <c r="D148" s="20"/>
      <c r="E148" s="27"/>
      <c r="F148" s="21"/>
      <c r="G148" s="22"/>
      <c r="H148" s="25"/>
      <c r="I148" s="33"/>
      <c r="J148" s="25"/>
      <c r="K148" s="31"/>
      <c r="M148" s="23"/>
      <c r="N148" s="11"/>
    </row>
    <row r="149" spans="1:14" s="10" customFormat="1" x14ac:dyDescent="0.25">
      <c r="A149" s="19"/>
      <c r="B149" s="20"/>
      <c r="C149" s="20"/>
      <c r="D149" s="20"/>
      <c r="E149" s="27"/>
      <c r="F149" s="21"/>
      <c r="G149" s="22"/>
      <c r="H149" s="25"/>
      <c r="I149" s="33"/>
      <c r="J149" s="25"/>
      <c r="K149" s="31"/>
      <c r="M149" s="23"/>
      <c r="N149" s="11"/>
    </row>
    <row r="150" spans="1:14" s="10" customFormat="1" x14ac:dyDescent="0.25">
      <c r="A150" s="19"/>
      <c r="B150" s="20"/>
      <c r="C150" s="20"/>
      <c r="D150" s="20"/>
      <c r="E150" s="27"/>
      <c r="F150" s="21"/>
      <c r="G150" s="22"/>
      <c r="H150" s="25"/>
      <c r="I150" s="33"/>
      <c r="J150" s="25"/>
      <c r="K150" s="31"/>
      <c r="M150" s="23"/>
      <c r="N150" s="11"/>
    </row>
    <row r="151" spans="1:14" s="10" customFormat="1" x14ac:dyDescent="0.25">
      <c r="A151" s="19"/>
      <c r="B151" s="20"/>
      <c r="C151" s="20"/>
      <c r="D151" s="20"/>
      <c r="E151" s="27"/>
      <c r="F151" s="21"/>
      <c r="G151" s="22"/>
      <c r="H151" s="25"/>
      <c r="I151" s="33"/>
      <c r="J151" s="25"/>
      <c r="K151" s="31"/>
      <c r="M151" s="23"/>
      <c r="N151" s="11"/>
    </row>
    <row r="152" spans="1:14" s="10" customFormat="1" x14ac:dyDescent="0.25">
      <c r="A152" s="19"/>
      <c r="B152" s="20"/>
      <c r="C152" s="20"/>
      <c r="D152" s="20"/>
      <c r="E152" s="27"/>
      <c r="F152" s="21"/>
      <c r="G152" s="22"/>
      <c r="H152" s="25"/>
      <c r="I152" s="33"/>
      <c r="J152" s="25"/>
      <c r="K152" s="31"/>
      <c r="M152" s="23"/>
      <c r="N152" s="11"/>
    </row>
    <row r="153" spans="1:14" s="10" customFormat="1" x14ac:dyDescent="0.25">
      <c r="A153" s="19"/>
      <c r="B153" s="20"/>
      <c r="C153" s="20"/>
      <c r="D153" s="20"/>
      <c r="E153" s="27"/>
      <c r="F153" s="21"/>
      <c r="G153" s="22"/>
      <c r="H153" s="25"/>
      <c r="I153" s="33"/>
      <c r="J153" s="25"/>
      <c r="K153" s="31"/>
      <c r="M153" s="23"/>
      <c r="N153" s="11"/>
    </row>
    <row r="154" spans="1:14" s="10" customFormat="1" x14ac:dyDescent="0.25">
      <c r="A154" s="19"/>
      <c r="B154" s="20"/>
      <c r="C154" s="20"/>
      <c r="D154" s="20"/>
      <c r="E154" s="27"/>
      <c r="F154" s="21"/>
      <c r="G154" s="22"/>
      <c r="H154" s="25"/>
      <c r="I154" s="33"/>
      <c r="J154" s="25"/>
      <c r="K154" s="31"/>
      <c r="M154" s="23"/>
      <c r="N154" s="11"/>
    </row>
    <row r="155" spans="1:14" s="10" customFormat="1" x14ac:dyDescent="0.25">
      <c r="A155" s="19"/>
      <c r="B155" s="20"/>
      <c r="C155" s="20"/>
      <c r="D155" s="20"/>
      <c r="E155" s="27"/>
      <c r="F155" s="21"/>
      <c r="G155" s="22"/>
      <c r="H155" s="25"/>
      <c r="I155" s="33"/>
      <c r="J155" s="25"/>
      <c r="K155" s="31"/>
      <c r="M155" s="23"/>
      <c r="N155" s="11"/>
    </row>
    <row r="156" spans="1:14" s="10" customFormat="1" x14ac:dyDescent="0.25">
      <c r="A156" s="19"/>
      <c r="B156" s="20"/>
      <c r="C156" s="20"/>
      <c r="D156" s="20"/>
      <c r="E156" s="27"/>
      <c r="F156" s="21"/>
      <c r="G156" s="22"/>
      <c r="H156" s="25"/>
      <c r="I156" s="33"/>
      <c r="J156" s="25"/>
      <c r="K156" s="31"/>
      <c r="M156" s="23"/>
      <c r="N156" s="11"/>
    </row>
    <row r="157" spans="1:14" s="10" customFormat="1" x14ac:dyDescent="0.25">
      <c r="A157" s="19"/>
      <c r="B157" s="20"/>
      <c r="C157" s="20"/>
      <c r="D157" s="20"/>
      <c r="E157" s="27"/>
      <c r="F157" s="21"/>
      <c r="G157" s="22"/>
      <c r="H157" s="25"/>
      <c r="I157" s="33"/>
      <c r="J157" s="25"/>
      <c r="K157" s="31"/>
      <c r="M157" s="23"/>
      <c r="N157" s="11"/>
    </row>
    <row r="158" spans="1:14" s="10" customFormat="1" x14ac:dyDescent="0.25">
      <c r="A158" s="19"/>
      <c r="B158" s="20"/>
      <c r="C158" s="20"/>
      <c r="D158" s="20"/>
      <c r="E158" s="27"/>
      <c r="F158" s="21"/>
      <c r="G158" s="22"/>
      <c r="H158" s="25"/>
      <c r="I158" s="33"/>
      <c r="J158" s="25"/>
      <c r="K158" s="31"/>
      <c r="M158" s="23"/>
      <c r="N158" s="11"/>
    </row>
    <row r="159" spans="1:14" s="10" customFormat="1" x14ac:dyDescent="0.25">
      <c r="A159" s="19"/>
      <c r="B159" s="20"/>
      <c r="C159" s="20"/>
      <c r="D159" s="20"/>
      <c r="E159" s="27"/>
      <c r="F159" s="21"/>
      <c r="G159" s="22"/>
      <c r="H159" s="25"/>
      <c r="I159" s="33"/>
      <c r="J159" s="25"/>
      <c r="K159" s="31"/>
      <c r="M159" s="23"/>
      <c r="N159" s="11"/>
    </row>
    <row r="160" spans="1:14" s="10" customFormat="1" x14ac:dyDescent="0.25">
      <c r="A160" s="19"/>
      <c r="B160" s="20"/>
      <c r="C160" s="20"/>
      <c r="D160" s="20"/>
      <c r="E160" s="27"/>
      <c r="F160" s="21"/>
      <c r="G160" s="22"/>
      <c r="H160" s="25"/>
      <c r="I160" s="33"/>
      <c r="J160" s="25"/>
      <c r="K160" s="31"/>
      <c r="M160" s="23"/>
      <c r="N160" s="11"/>
    </row>
    <row r="161" spans="1:14" s="10" customFormat="1" x14ac:dyDescent="0.25">
      <c r="A161" s="19"/>
      <c r="B161" s="20"/>
      <c r="C161" s="20"/>
      <c r="D161" s="20"/>
      <c r="E161" s="27"/>
      <c r="F161" s="21"/>
      <c r="G161" s="22"/>
      <c r="H161" s="25"/>
      <c r="I161" s="33"/>
      <c r="J161" s="25"/>
      <c r="K161" s="31"/>
      <c r="M161" s="23"/>
      <c r="N161" s="11"/>
    </row>
    <row r="162" spans="1:14" s="10" customFormat="1" x14ac:dyDescent="0.25">
      <c r="A162" s="19"/>
      <c r="B162" s="20"/>
      <c r="C162" s="20"/>
      <c r="D162" s="20"/>
      <c r="E162" s="27"/>
      <c r="F162" s="21"/>
      <c r="G162" s="22"/>
      <c r="H162" s="25"/>
      <c r="I162" s="33"/>
      <c r="J162" s="25"/>
      <c r="K162" s="31"/>
      <c r="M162" s="23"/>
      <c r="N162" s="11"/>
    </row>
    <row r="163" spans="1:14" s="10" customFormat="1" x14ac:dyDescent="0.25">
      <c r="A163" s="19"/>
      <c r="B163" s="20"/>
      <c r="C163" s="20"/>
      <c r="D163" s="20"/>
      <c r="E163" s="27"/>
      <c r="F163" s="21"/>
      <c r="G163" s="22"/>
      <c r="H163" s="25"/>
      <c r="I163" s="33"/>
      <c r="J163" s="25"/>
      <c r="K163" s="31"/>
      <c r="M163" s="23"/>
      <c r="N163" s="11"/>
    </row>
    <row r="164" spans="1:14" s="10" customFormat="1" x14ac:dyDescent="0.25">
      <c r="A164" s="19"/>
      <c r="B164" s="20"/>
      <c r="C164" s="20"/>
      <c r="D164" s="20"/>
      <c r="E164" s="27"/>
      <c r="F164" s="21"/>
      <c r="G164" s="22"/>
      <c r="H164" s="25"/>
      <c r="I164" s="33"/>
      <c r="J164" s="25"/>
      <c r="K164" s="31"/>
      <c r="M164" s="23"/>
      <c r="N164" s="11"/>
    </row>
    <row r="165" spans="1:14" s="10" customFormat="1" x14ac:dyDescent="0.25">
      <c r="A165" s="19"/>
      <c r="B165" s="20"/>
      <c r="C165" s="20"/>
      <c r="D165" s="20"/>
      <c r="E165" s="27"/>
      <c r="F165" s="21"/>
      <c r="G165" s="22"/>
      <c r="H165" s="25"/>
      <c r="I165" s="33"/>
      <c r="J165" s="25"/>
      <c r="K165" s="31"/>
      <c r="M165" s="23"/>
      <c r="N165" s="11"/>
    </row>
    <row r="166" spans="1:14" s="10" customFormat="1" x14ac:dyDescent="0.25">
      <c r="A166" s="19"/>
      <c r="B166" s="20"/>
      <c r="C166" s="20"/>
      <c r="D166" s="20"/>
      <c r="E166" s="27"/>
      <c r="F166" s="21"/>
      <c r="G166" s="22"/>
      <c r="H166" s="25"/>
      <c r="I166" s="33"/>
      <c r="J166" s="25"/>
      <c r="K166" s="31"/>
      <c r="M166" s="23"/>
      <c r="N166" s="11"/>
    </row>
    <row r="167" spans="1:14" s="10" customFormat="1" x14ac:dyDescent="0.25">
      <c r="A167" s="19"/>
      <c r="B167" s="20"/>
      <c r="C167" s="20"/>
      <c r="D167" s="20"/>
      <c r="E167" s="27"/>
      <c r="F167" s="21"/>
      <c r="G167" s="22"/>
      <c r="H167" s="25"/>
      <c r="I167" s="33"/>
      <c r="J167" s="25"/>
      <c r="K167" s="31"/>
      <c r="M167" s="23"/>
      <c r="N167" s="11"/>
    </row>
    <row r="168" spans="1:14" s="10" customFormat="1" x14ac:dyDescent="0.25">
      <c r="A168" s="19"/>
      <c r="B168" s="20"/>
      <c r="C168" s="20"/>
      <c r="D168" s="20"/>
      <c r="E168" s="27"/>
      <c r="F168" s="21"/>
      <c r="G168" s="22"/>
      <c r="H168" s="25"/>
      <c r="I168" s="33"/>
      <c r="J168" s="25"/>
      <c r="K168" s="31"/>
      <c r="M168" s="23"/>
      <c r="N168" s="11"/>
    </row>
    <row r="169" spans="1:14" s="10" customFormat="1" x14ac:dyDescent="0.25">
      <c r="A169" s="19"/>
      <c r="B169" s="20"/>
      <c r="C169" s="20"/>
      <c r="D169" s="20"/>
      <c r="E169" s="27"/>
      <c r="F169" s="21"/>
      <c r="G169" s="22"/>
      <c r="H169" s="25"/>
      <c r="I169" s="33"/>
      <c r="J169" s="25"/>
      <c r="K169" s="31"/>
      <c r="M169" s="23"/>
      <c r="N169" s="11"/>
    </row>
    <row r="170" spans="1:14" s="10" customFormat="1" x14ac:dyDescent="0.25">
      <c r="A170" s="19"/>
      <c r="B170" s="20"/>
      <c r="C170" s="20"/>
      <c r="D170" s="20"/>
      <c r="E170" s="27"/>
      <c r="F170" s="21"/>
      <c r="G170" s="22"/>
      <c r="H170" s="25"/>
      <c r="I170" s="33"/>
      <c r="J170" s="25"/>
      <c r="K170" s="31"/>
      <c r="M170" s="23"/>
      <c r="N170" s="11"/>
    </row>
    <row r="171" spans="1:14" s="10" customFormat="1" x14ac:dyDescent="0.25">
      <c r="A171" s="19"/>
      <c r="B171" s="20"/>
      <c r="C171" s="20"/>
      <c r="D171" s="20"/>
      <c r="E171" s="27"/>
      <c r="F171" s="21"/>
      <c r="G171" s="22"/>
      <c r="H171" s="25"/>
      <c r="I171" s="33"/>
      <c r="J171" s="25"/>
      <c r="K171" s="31"/>
      <c r="M171" s="23"/>
      <c r="N171" s="11"/>
    </row>
    <row r="172" spans="1:14" s="10" customFormat="1" x14ac:dyDescent="0.25">
      <c r="A172" s="19"/>
      <c r="B172" s="20"/>
      <c r="C172" s="20"/>
      <c r="D172" s="20"/>
      <c r="E172" s="27"/>
      <c r="F172" s="21"/>
      <c r="G172" s="22"/>
      <c r="H172" s="25"/>
      <c r="I172" s="33"/>
      <c r="J172" s="25"/>
      <c r="K172" s="31"/>
      <c r="M172" s="23"/>
      <c r="N172" s="11"/>
    </row>
    <row r="173" spans="1:14" s="10" customFormat="1" x14ac:dyDescent="0.25">
      <c r="A173" s="19"/>
      <c r="B173" s="20"/>
      <c r="C173" s="20"/>
      <c r="D173" s="20"/>
      <c r="E173" s="27"/>
      <c r="F173" s="21"/>
      <c r="G173" s="22"/>
      <c r="H173" s="25"/>
      <c r="I173" s="33"/>
      <c r="J173" s="25"/>
      <c r="K173" s="31"/>
      <c r="M173" s="23"/>
      <c r="N173" s="11"/>
    </row>
  </sheetData>
  <autoFilter ref="A1:P11" xr:uid="{00000000-0009-0000-0000-000001000000}">
    <sortState xmlns:xlrd2="http://schemas.microsoft.com/office/spreadsheetml/2017/richdata2" ref="A2:Q81">
      <sortCondition ref="F1:F11"/>
    </sortState>
  </autoFilter>
  <conditionalFormatting sqref="A1:J1 E56 E60 E64 E68 E72 B56:D58 B60:D62 B64:D66 B68:D70 B72:D74 B76:E76 E86 E82 B77:D79 H81:H86 J77:J79 B54:D54 J54 J81:J86 B81:D86 L1:XFD1">
    <cfRule type="beginsWith" dxfId="162" priority="52" operator="beginsWith" text="[K_">
      <formula>LEFT(A1,LEN("[K_"))="[K_"</formula>
    </cfRule>
  </conditionalFormatting>
  <conditionalFormatting sqref="K1">
    <cfRule type="beginsWith" dxfId="161" priority="41" operator="beginsWith" text="[K_">
      <formula>LEFT(K1,LEN("[K_"))="[K_"</formula>
    </cfRule>
  </conditionalFormatting>
  <conditionalFormatting sqref="B55:E55 B59:E59 B63:E63 B67:E67 B71:E71 B75:E75 J55:J76 E79 E85 E81">
    <cfRule type="beginsWith" dxfId="160" priority="40" operator="beginsWith" text="[K_">
      <formula>LEFT(B55,LEN("[K_"))="[K_"</formula>
    </cfRule>
  </conditionalFormatting>
  <conditionalFormatting sqref="H107:H173 B107:E173 J107:J173">
    <cfRule type="beginsWith" dxfId="159" priority="37" operator="beginsWith" text="[K_">
      <formula>LEFT(B107,LEN("[K_"))="[K_"</formula>
    </cfRule>
  </conditionalFormatting>
  <conditionalFormatting sqref="F107:F1048576 F1:F3 F54:F76">
    <cfRule type="duplicateValues" dxfId="158" priority="36"/>
  </conditionalFormatting>
  <conditionalFormatting sqref="B87:E106">
    <cfRule type="beginsWith" dxfId="157" priority="34" operator="beginsWith" text="[K_">
      <formula>LEFT(B87,LEN("[K_"))="[K_"</formula>
    </cfRule>
  </conditionalFormatting>
  <conditionalFormatting sqref="H87:H106 J87:J106">
    <cfRule type="beginsWith" dxfId="156" priority="33" operator="beginsWith" text="[K_">
      <formula>LEFT(H87,LEN("[K_"))="[K_"</formula>
    </cfRule>
  </conditionalFormatting>
  <conditionalFormatting sqref="F87:F106">
    <cfRule type="duplicateValues" dxfId="155" priority="32"/>
  </conditionalFormatting>
  <conditionalFormatting sqref="F77:F79 F81:F86">
    <cfRule type="duplicateValues" dxfId="154" priority="81"/>
  </conditionalFormatting>
  <conditionalFormatting sqref="E1:E3 E81:E1048576 E54:E79 E39 E43 E47 E51">
    <cfRule type="duplicateValues" dxfId="153" priority="26"/>
  </conditionalFormatting>
  <conditionalFormatting sqref="B80:D80 J80">
    <cfRule type="beginsWith" dxfId="152" priority="25" operator="beginsWith" text="[K_">
      <formula>LEFT(B80,LEN("[K_"))="[K_"</formula>
    </cfRule>
  </conditionalFormatting>
  <conditionalFormatting sqref="F80">
    <cfRule type="duplicateValues" dxfId="151" priority="23"/>
  </conditionalFormatting>
  <conditionalFormatting sqref="E80">
    <cfRule type="duplicateValues" dxfId="150" priority="22"/>
  </conditionalFormatting>
  <conditionalFormatting sqref="E36 E40 E44 E48 E52">
    <cfRule type="duplicateValues" dxfId="149" priority="19"/>
  </conditionalFormatting>
  <conditionalFormatting sqref="E37:E38 E41:E42 E45:E46 E49:E50 E53">
    <cfRule type="duplicateValues" dxfId="148" priority="15"/>
  </conditionalFormatting>
  <conditionalFormatting sqref="H3:J3 B3:D3 I80">
    <cfRule type="beginsWith" dxfId="147" priority="43" operator="beginsWith" text="[K_">
      <formula>LEFT(#REF!,LEN("[K_"))="[K_"</formula>
    </cfRule>
  </conditionalFormatting>
  <conditionalFormatting sqref="I81:I173">
    <cfRule type="beginsWith" dxfId="146" priority="38" operator="beginsWith" text="[K_">
      <formula>LEFT(#REF!,LEN("[K_"))="[K_"</formula>
    </cfRule>
  </conditionalFormatting>
  <conditionalFormatting sqref="I54:I79">
    <cfRule type="beginsWith" dxfId="145" priority="96" operator="beginsWith" text="[K_">
      <formula>LEFT(#REF!,LEN("[K_"))="[K_"</formula>
    </cfRule>
  </conditionalFormatting>
  <conditionalFormatting sqref="H4 J4">
    <cfRule type="beginsWith" dxfId="144" priority="21" operator="beginsWith" text="[K_">
      <formula>LEFT(#REF!,LEN("[K_"))="[K_"</formula>
    </cfRule>
  </conditionalFormatting>
  <conditionalFormatting sqref="B36:D53 J36:J53">
    <cfRule type="beginsWith" dxfId="143" priority="17" operator="beginsWith" text="[K_">
      <formula>LEFT(#REF!,LEN("[K_"))="[K_"</formula>
    </cfRule>
  </conditionalFormatting>
  <conditionalFormatting sqref="H36:H53">
    <cfRule type="beginsWith" dxfId="142" priority="13" operator="beginsWith" text="[K_">
      <formula>LEFT(#REF!,LEN("[K_"))="[K_"</formula>
    </cfRule>
  </conditionalFormatting>
  <conditionalFormatting sqref="F36:F37">
    <cfRule type="beginsWith" dxfId="141" priority="9" operator="beginsWith" text="[K_">
      <formula>LEFT(#REF!,LEN("[K_"))="[K_"</formula>
    </cfRule>
  </conditionalFormatting>
  <conditionalFormatting sqref="F41">
    <cfRule type="beginsWith" dxfId="140" priority="10" operator="beginsWith" text="[K_">
      <formula>LEFT(#REF!,LEN("[K_"))="[K_"</formula>
    </cfRule>
  </conditionalFormatting>
  <conditionalFormatting sqref="F38:F40">
    <cfRule type="beginsWith" dxfId="139" priority="11" operator="beginsWith" text="[K_">
      <formula>LEFT(#REF!,LEN("[K_"))="[K_"</formula>
    </cfRule>
  </conditionalFormatting>
  <conditionalFormatting sqref="F42:F53">
    <cfRule type="beginsWith" dxfId="138" priority="12" operator="beginsWith" text="[K_">
      <formula>LEFT(#REF!,LEN("[K_"))="[K_"</formula>
    </cfRule>
  </conditionalFormatting>
  <conditionalFormatting sqref="I4 I36:I53">
    <cfRule type="beginsWith" dxfId="137" priority="5" operator="beginsWith" text="[K_">
      <formula>LEFT(#REF!,LEN("[K_"))="[K_"</formula>
    </cfRule>
  </conditionalFormatting>
  <conditionalFormatting sqref="B4:D4">
    <cfRule type="beginsWith" dxfId="136" priority="4" operator="beginsWith" text="[K_">
      <formula>LEFT(#REF!,LEN("[K_"))="[K_"</formula>
    </cfRule>
  </conditionalFormatting>
  <conditionalFormatting sqref="H5:H35 J5:J35">
    <cfRule type="beginsWith" dxfId="135" priority="3" operator="beginsWith" text="[K_">
      <formula>LEFT(#REF!,LEN("[K_"))="[K_"</formula>
    </cfRule>
  </conditionalFormatting>
  <conditionalFormatting sqref="I5:I35">
    <cfRule type="beginsWith" dxfId="134" priority="2" operator="beginsWith" text="[K_">
      <formula>LEFT(#REF!,LEN("[K_"))="[K_"</formula>
    </cfRule>
  </conditionalFormatting>
  <conditionalFormatting sqref="B5:D35">
    <cfRule type="beginsWith" dxfId="133" priority="1" operator="beginsWith" text="[K_">
      <formula>LEFT(#REF!,LEN("[K_"))="[K_"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639F-A0A2-4249-9C0B-B2EC56BEF8CD}">
  <dimension ref="A1:P171"/>
  <sheetViews>
    <sheetView topLeftCell="A32" zoomScale="130" zoomScaleNormal="130" workbookViewId="0">
      <selection activeCell="J60" sqref="J60"/>
    </sheetView>
  </sheetViews>
  <sheetFormatPr baseColWidth="10" defaultColWidth="11.42578125" defaultRowHeight="15" x14ac:dyDescent="0.25"/>
  <cols>
    <col min="1" max="1" width="3.28515625" style="13" customWidth="1"/>
    <col min="2" max="4" width="4.140625" customWidth="1"/>
    <col min="5" max="5" width="17.5703125" style="15" bestFit="1" customWidth="1"/>
    <col min="6" max="6" width="43.28515625" style="9" bestFit="1" customWidth="1"/>
    <col min="7" max="7" width="28.140625" style="9" customWidth="1"/>
    <col min="8" max="8" width="16.28515625" style="26" customWidth="1"/>
    <col min="9" max="9" width="38.42578125" style="34" customWidth="1"/>
    <col min="10" max="10" width="24.42578125" style="15" customWidth="1"/>
    <col min="11" max="11" width="24.42578125" style="31" customWidth="1"/>
    <col min="12" max="12" width="8.42578125" customWidth="1"/>
    <col min="13" max="13" width="25.28515625" customWidth="1"/>
    <col min="14" max="14" width="17.42578125" style="12" customWidth="1"/>
  </cols>
  <sheetData>
    <row r="1" spans="1:16" s="18" customFormat="1" x14ac:dyDescent="0.25">
      <c r="A1" s="17" t="s">
        <v>8</v>
      </c>
      <c r="B1" s="18" t="s">
        <v>0</v>
      </c>
      <c r="C1" s="18" t="s">
        <v>1</v>
      </c>
      <c r="D1" s="18" t="s">
        <v>2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81</v>
      </c>
      <c r="M1" s="18" t="s">
        <v>9</v>
      </c>
      <c r="N1" s="18" t="str">
        <f>TABLE!A1</f>
        <v>PG_CI_STATE_GEO</v>
      </c>
      <c r="O1" s="18" t="s">
        <v>6</v>
      </c>
      <c r="P1" s="18" t="str">
        <f>CONCATENATE($M$1,$N$1,$O$1,B3, ", ", C3, ", ", D3, ", ", )</f>
        <v xml:space="preserve">EXECUTE [dbo].[PG_CI_STATE_GEO] 0, 10, 139, </v>
      </c>
    </row>
    <row r="2" spans="1:16" s="10" customFormat="1" x14ac:dyDescent="0.25">
      <c r="A2" s="3"/>
      <c r="B2" s="7" t="s">
        <v>7</v>
      </c>
      <c r="C2" s="7" t="s">
        <v>7</v>
      </c>
      <c r="D2" s="7" t="s">
        <v>7</v>
      </c>
      <c r="E2" s="14" t="s">
        <v>7</v>
      </c>
      <c r="F2" s="8" t="s">
        <v>7</v>
      </c>
      <c r="G2" s="8" t="s">
        <v>7</v>
      </c>
      <c r="H2" s="24" t="s">
        <v>7</v>
      </c>
      <c r="I2" s="32" t="s">
        <v>7</v>
      </c>
      <c r="J2" s="14" t="s">
        <v>7</v>
      </c>
      <c r="K2" s="14" t="s">
        <v>7</v>
      </c>
      <c r="L2" s="1"/>
      <c r="M2" s="2" t="str">
        <f>"-- =========================================================="</f>
        <v>-- ==========================================================</v>
      </c>
      <c r="O2" s="6"/>
      <c r="P2" s="1"/>
    </row>
    <row r="3" spans="1:16" s="10" customFormat="1" x14ac:dyDescent="0.25">
      <c r="A3" s="19">
        <v>1</v>
      </c>
      <c r="B3" s="20">
        <v>0</v>
      </c>
      <c r="C3" s="20">
        <v>10</v>
      </c>
      <c r="D3" s="20">
        <v>139</v>
      </c>
      <c r="E3" s="27">
        <v>33</v>
      </c>
      <c r="F3" s="21" t="s">
        <v>90</v>
      </c>
      <c r="G3" s="22" t="s">
        <v>139</v>
      </c>
      <c r="H3" s="25">
        <v>1</v>
      </c>
      <c r="I3" s="33" t="str">
        <f t="shared" ref="I3:I35" si="0">CONCATENATE("#",E3," // ",F3)</f>
        <v xml:space="preserve">#33 // Alabama </v>
      </c>
      <c r="J3" s="25">
        <v>0</v>
      </c>
      <c r="K3" s="31">
        <v>221</v>
      </c>
      <c r="M3" s="23" t="str">
        <f>CONCATENATE(CI_USA!$P$1,E3,", '",F3,"', '",G3,"' , ",H3," , '",I3,"' , ",J3,",",K3)</f>
        <v>EXECUTE [dbo].[PG_CI_STATE_GEO] 0, 10, 139, 33, 'Alabama ', 'AL' , 1 , '#33 // Alabama ' , 0,221</v>
      </c>
      <c r="N3" s="11"/>
    </row>
    <row r="4" spans="1:16" s="10" customFormat="1" x14ac:dyDescent="0.25">
      <c r="A4" s="19">
        <f>+A3+1</f>
        <v>2</v>
      </c>
      <c r="B4" s="20">
        <v>0</v>
      </c>
      <c r="C4" s="20">
        <v>10</v>
      </c>
      <c r="D4" s="20">
        <v>139</v>
      </c>
      <c r="E4" s="35">
        <f>+E3+1</f>
        <v>34</v>
      </c>
      <c r="F4" s="21" t="s">
        <v>91</v>
      </c>
      <c r="G4" s="22" t="s">
        <v>140</v>
      </c>
      <c r="H4" s="25">
        <v>1</v>
      </c>
      <c r="I4" s="33" t="str">
        <f t="shared" si="0"/>
        <v xml:space="preserve">#34 // Alaska </v>
      </c>
      <c r="J4" s="25">
        <v>0</v>
      </c>
      <c r="K4" s="31">
        <v>221</v>
      </c>
      <c r="M4" s="23" t="str">
        <f>CONCATENATE(CI_USA!$P$1,E4,", '",F4,"', '",G4,"' , ",H4," , '",I4,"' , ",J4,",",K4)</f>
        <v>EXECUTE [dbo].[PG_CI_STATE_GEO] 0, 10, 139, 34, 'Alaska ', 'AK' , 1 , '#34 // Alaska ' , 0,221</v>
      </c>
      <c r="N4" s="11"/>
    </row>
    <row r="5" spans="1:16" s="10" customFormat="1" x14ac:dyDescent="0.25">
      <c r="A5" s="19">
        <f t="shared" ref="A5:A35" si="1">+A4+1</f>
        <v>3</v>
      </c>
      <c r="B5" s="20">
        <v>0</v>
      </c>
      <c r="C5" s="20">
        <v>10</v>
      </c>
      <c r="D5" s="20">
        <v>139</v>
      </c>
      <c r="E5" s="35">
        <f t="shared" ref="E5:E35" si="2">+E4+1</f>
        <v>35</v>
      </c>
      <c r="F5" s="21" t="s">
        <v>92</v>
      </c>
      <c r="G5" s="22" t="s">
        <v>141</v>
      </c>
      <c r="H5" s="25">
        <v>1</v>
      </c>
      <c r="I5" s="33" t="str">
        <f t="shared" si="0"/>
        <v xml:space="preserve">#35 // Arizona </v>
      </c>
      <c r="J5" s="25">
        <v>1</v>
      </c>
      <c r="K5" s="31">
        <v>221</v>
      </c>
      <c r="M5" s="23" t="str">
        <f>CONCATENATE(CI_USA!$P$1,E5,", '",F5,"', '",G5,"' , ",H5," , '",I5,"' , ",J5,",",K5)</f>
        <v>EXECUTE [dbo].[PG_CI_STATE_GEO] 0, 10, 139, 35, 'Arizona ', 'AZ' , 1 , '#35 // Arizona ' , 1,221</v>
      </c>
      <c r="N5" s="11"/>
    </row>
    <row r="6" spans="1:16" s="10" customFormat="1" x14ac:dyDescent="0.25">
      <c r="A6" s="19">
        <f t="shared" si="1"/>
        <v>4</v>
      </c>
      <c r="B6" s="20">
        <v>0</v>
      </c>
      <c r="C6" s="20">
        <v>10</v>
      </c>
      <c r="D6" s="20">
        <v>139</v>
      </c>
      <c r="E6" s="35">
        <f t="shared" si="2"/>
        <v>36</v>
      </c>
      <c r="F6" s="21" t="s">
        <v>93</v>
      </c>
      <c r="G6" s="22" t="s">
        <v>142</v>
      </c>
      <c r="H6" s="25">
        <v>1</v>
      </c>
      <c r="I6" s="33" t="str">
        <f t="shared" si="0"/>
        <v xml:space="preserve">#36 // Arkansas </v>
      </c>
      <c r="J6" s="25">
        <v>0</v>
      </c>
      <c r="K6" s="31">
        <v>221</v>
      </c>
      <c r="M6" s="23" t="str">
        <f>CONCATENATE(CI_USA!$P$1,E6,", '",F6,"', '",G6,"' , ",H6," , '",I6,"' , ",J6,",",K6)</f>
        <v>EXECUTE [dbo].[PG_CI_STATE_GEO] 0, 10, 139, 36, 'Arkansas ', 'AR' , 1 , '#36 // Arkansas ' , 0,221</v>
      </c>
      <c r="N6" s="11"/>
    </row>
    <row r="7" spans="1:16" s="10" customFormat="1" x14ac:dyDescent="0.25">
      <c r="A7" s="19">
        <f t="shared" si="1"/>
        <v>5</v>
      </c>
      <c r="B7" s="20">
        <v>0</v>
      </c>
      <c r="C7" s="20">
        <v>10</v>
      </c>
      <c r="D7" s="20">
        <v>139</v>
      </c>
      <c r="E7" s="35">
        <f t="shared" si="2"/>
        <v>37</v>
      </c>
      <c r="F7" s="21" t="s">
        <v>94</v>
      </c>
      <c r="G7" s="22" t="s">
        <v>143</v>
      </c>
      <c r="H7" s="25">
        <v>1</v>
      </c>
      <c r="I7" s="33" t="str">
        <f t="shared" si="0"/>
        <v xml:space="preserve">#37 // California </v>
      </c>
      <c r="J7" s="25">
        <v>1</v>
      </c>
      <c r="K7" s="31">
        <v>221</v>
      </c>
      <c r="M7" s="23" t="str">
        <f>CONCATENATE(CI_USA!$P$1,E7,", '",F7,"', '",G7,"' , ",H7," , '",I7,"' , ",J7,",",K7)</f>
        <v>EXECUTE [dbo].[PG_CI_STATE_GEO] 0, 10, 139, 37, 'California ', 'CA' , 1 , '#37 // California ' , 1,221</v>
      </c>
      <c r="N7" s="11"/>
    </row>
    <row r="8" spans="1:16" s="10" customFormat="1" x14ac:dyDescent="0.25">
      <c r="A8" s="19">
        <f t="shared" si="1"/>
        <v>6</v>
      </c>
      <c r="B8" s="20">
        <v>0</v>
      </c>
      <c r="C8" s="20">
        <v>10</v>
      </c>
      <c r="D8" s="20">
        <v>139</v>
      </c>
      <c r="E8" s="35">
        <f t="shared" si="2"/>
        <v>38</v>
      </c>
      <c r="F8" s="21" t="s">
        <v>95</v>
      </c>
      <c r="G8" s="22" t="s">
        <v>145</v>
      </c>
      <c r="H8" s="25">
        <v>1</v>
      </c>
      <c r="I8" s="33" t="str">
        <f t="shared" si="0"/>
        <v>#38 // Colorado</v>
      </c>
      <c r="J8" s="25">
        <v>0</v>
      </c>
      <c r="K8" s="31">
        <v>221</v>
      </c>
      <c r="M8" s="23" t="str">
        <f>CONCATENATE(CI_USA!$P$1,E8,", '",F8,"', '",G8,"' , ",H8," , '",I8,"' , ",J8,",",K8)</f>
        <v>EXECUTE [dbo].[PG_CI_STATE_GEO] 0, 10, 139, 38, 'Colorado', 'CO' , 1 , '#38 // Colorado' , 0,221</v>
      </c>
      <c r="N8" s="11"/>
    </row>
    <row r="9" spans="1:16" s="10" customFormat="1" x14ac:dyDescent="0.25">
      <c r="A9" s="19">
        <f t="shared" si="1"/>
        <v>7</v>
      </c>
      <c r="B9" s="20">
        <v>0</v>
      </c>
      <c r="C9" s="20">
        <v>10</v>
      </c>
      <c r="D9" s="20">
        <v>139</v>
      </c>
      <c r="E9" s="35">
        <f t="shared" si="2"/>
        <v>39</v>
      </c>
      <c r="F9" s="21" t="s">
        <v>96</v>
      </c>
      <c r="G9" s="22" t="s">
        <v>144</v>
      </c>
      <c r="H9" s="25">
        <v>1</v>
      </c>
      <c r="I9" s="33" t="str">
        <f t="shared" si="0"/>
        <v xml:space="preserve">#39 // Connecticut </v>
      </c>
      <c r="J9" s="25">
        <v>0</v>
      </c>
      <c r="K9" s="31">
        <v>221</v>
      </c>
      <c r="M9" s="23" t="str">
        <f>CONCATENATE(CI_USA!$P$1,E9,", '",F9,"', '",G9,"' , ",H9," , '",I9,"' , ",J9,",",K9)</f>
        <v>EXECUTE [dbo].[PG_CI_STATE_GEO] 0, 10, 139, 39, 'Connecticut ', 'CT' , 1 , '#39 // Connecticut ' , 0,221</v>
      </c>
      <c r="N9" s="11"/>
    </row>
    <row r="10" spans="1:16" s="10" customFormat="1" x14ac:dyDescent="0.25">
      <c r="A10" s="19">
        <f t="shared" si="1"/>
        <v>8</v>
      </c>
      <c r="B10" s="20">
        <v>0</v>
      </c>
      <c r="C10" s="20">
        <v>10</v>
      </c>
      <c r="D10" s="20">
        <v>139</v>
      </c>
      <c r="E10" s="35">
        <f t="shared" si="2"/>
        <v>40</v>
      </c>
      <c r="F10" s="21" t="s">
        <v>97</v>
      </c>
      <c r="G10" s="22" t="s">
        <v>146</v>
      </c>
      <c r="H10" s="25">
        <v>1</v>
      </c>
      <c r="I10" s="33" t="str">
        <f t="shared" si="0"/>
        <v xml:space="preserve">#40 // Delaware </v>
      </c>
      <c r="J10" s="25">
        <v>0</v>
      </c>
      <c r="K10" s="31">
        <v>221</v>
      </c>
      <c r="M10" s="23" t="str">
        <f>CONCATENATE(CI_USA!$P$1,E10,", '",F10,"', '",G10,"' , ",H10," , '",I10,"' , ",J10,",",K10)</f>
        <v>EXECUTE [dbo].[PG_CI_STATE_GEO] 0, 10, 139, 40, 'Delaware ', 'DE' , 1 , '#40 // Delaware ' , 0,221</v>
      </c>
      <c r="N10" s="11"/>
    </row>
    <row r="11" spans="1:16" s="10" customFormat="1" x14ac:dyDescent="0.25">
      <c r="A11" s="19">
        <f t="shared" si="1"/>
        <v>9</v>
      </c>
      <c r="B11" s="20">
        <v>0</v>
      </c>
      <c r="C11" s="20">
        <v>10</v>
      </c>
      <c r="D11" s="20">
        <v>139</v>
      </c>
      <c r="E11" s="35">
        <f t="shared" si="2"/>
        <v>41</v>
      </c>
      <c r="F11" s="21" t="s">
        <v>98</v>
      </c>
      <c r="G11" s="22" t="s">
        <v>147</v>
      </c>
      <c r="H11" s="25">
        <v>1</v>
      </c>
      <c r="I11" s="33" t="str">
        <f t="shared" si="0"/>
        <v xml:space="preserve">#41 // Florida </v>
      </c>
      <c r="J11" s="25">
        <v>1</v>
      </c>
      <c r="K11" s="31">
        <v>221</v>
      </c>
      <c r="M11" s="23" t="str">
        <f>CONCATENATE(CI_USA!$P$1,E11,", '",F11,"', '",G11,"' , ",H11," , '",I11,"' , ",J11,",",K11)</f>
        <v>EXECUTE [dbo].[PG_CI_STATE_GEO] 0, 10, 139, 41, 'Florida ', 'DL' , 1 , '#41 // Florida ' , 1,221</v>
      </c>
      <c r="N11" s="11"/>
    </row>
    <row r="12" spans="1:16" s="10" customFormat="1" x14ac:dyDescent="0.25">
      <c r="A12" s="19">
        <f t="shared" si="1"/>
        <v>10</v>
      </c>
      <c r="B12" s="20">
        <v>0</v>
      </c>
      <c r="C12" s="20">
        <v>10</v>
      </c>
      <c r="D12" s="20">
        <v>139</v>
      </c>
      <c r="E12" s="35">
        <f t="shared" si="2"/>
        <v>42</v>
      </c>
      <c r="F12" s="21" t="s">
        <v>99</v>
      </c>
      <c r="G12" s="22" t="s">
        <v>148</v>
      </c>
      <c r="H12" s="25">
        <v>1</v>
      </c>
      <c r="I12" s="33" t="str">
        <f t="shared" si="0"/>
        <v xml:space="preserve">#42 // Georgia </v>
      </c>
      <c r="J12" s="25">
        <v>0</v>
      </c>
      <c r="K12" s="31">
        <v>221</v>
      </c>
      <c r="M12" s="23" t="str">
        <f>CONCATENATE(CI_USA!$P$1,E12,", '",F12,"', '",G12,"' , ",H12," , '",I12,"' , ",J12,",",K12)</f>
        <v>EXECUTE [dbo].[PG_CI_STATE_GEO] 0, 10, 139, 42, 'Georgia ', 'GA' , 1 , '#42 // Georgia ' , 0,221</v>
      </c>
      <c r="N12" s="11"/>
    </row>
    <row r="13" spans="1:16" s="10" customFormat="1" x14ac:dyDescent="0.25">
      <c r="A13" s="19">
        <f t="shared" si="1"/>
        <v>11</v>
      </c>
      <c r="B13" s="20">
        <v>0</v>
      </c>
      <c r="C13" s="20">
        <v>10</v>
      </c>
      <c r="D13" s="20">
        <v>139</v>
      </c>
      <c r="E13" s="35">
        <f t="shared" si="2"/>
        <v>43</v>
      </c>
      <c r="F13" s="21" t="s">
        <v>100</v>
      </c>
      <c r="G13" s="22" t="s">
        <v>149</v>
      </c>
      <c r="H13" s="25">
        <v>1</v>
      </c>
      <c r="I13" s="33" t="str">
        <f t="shared" si="0"/>
        <v xml:space="preserve">#43 // Hawaii </v>
      </c>
      <c r="J13" s="25">
        <v>0</v>
      </c>
      <c r="K13" s="31">
        <v>221</v>
      </c>
      <c r="M13" s="23" t="str">
        <f>CONCATENATE(CI_USA!$P$1,E13,", '",F13,"', '",G13,"' , ",H13," , '",I13,"' , ",J13,",",K13)</f>
        <v>EXECUTE [dbo].[PG_CI_STATE_GEO] 0, 10, 139, 43, 'Hawaii ', 'HI' , 1 , '#43 // Hawaii ' , 0,221</v>
      </c>
      <c r="N13" s="11"/>
    </row>
    <row r="14" spans="1:16" s="10" customFormat="1" x14ac:dyDescent="0.25">
      <c r="A14" s="19">
        <f t="shared" si="1"/>
        <v>12</v>
      </c>
      <c r="B14" s="20">
        <v>0</v>
      </c>
      <c r="C14" s="20">
        <v>10</v>
      </c>
      <c r="D14" s="20">
        <v>139</v>
      </c>
      <c r="E14" s="35">
        <f t="shared" si="2"/>
        <v>44</v>
      </c>
      <c r="F14" s="21" t="s">
        <v>101</v>
      </c>
      <c r="G14" s="22" t="s">
        <v>150</v>
      </c>
      <c r="H14" s="25">
        <v>1</v>
      </c>
      <c r="I14" s="33" t="str">
        <f t="shared" si="0"/>
        <v xml:space="preserve">#44 // Idaho </v>
      </c>
      <c r="J14" s="25">
        <v>0</v>
      </c>
      <c r="K14" s="31">
        <v>221</v>
      </c>
      <c r="M14" s="23" t="str">
        <f>CONCATENATE(CI_USA!$P$1,E14,", '",F14,"', '",G14,"' , ",H14," , '",I14,"' , ",J14,",",K14)</f>
        <v>EXECUTE [dbo].[PG_CI_STATE_GEO] 0, 10, 139, 44, 'Idaho ', 'ID' , 1 , '#44 // Idaho ' , 0,221</v>
      </c>
      <c r="N14" s="11"/>
    </row>
    <row r="15" spans="1:16" s="10" customFormat="1" x14ac:dyDescent="0.25">
      <c r="A15" s="19">
        <f t="shared" si="1"/>
        <v>13</v>
      </c>
      <c r="B15" s="20">
        <v>0</v>
      </c>
      <c r="C15" s="20">
        <v>10</v>
      </c>
      <c r="D15" s="20">
        <v>139</v>
      </c>
      <c r="E15" s="35">
        <f t="shared" si="2"/>
        <v>45</v>
      </c>
      <c r="F15" s="21" t="s">
        <v>102</v>
      </c>
      <c r="G15" s="22" t="s">
        <v>151</v>
      </c>
      <c r="H15" s="25">
        <v>1</v>
      </c>
      <c r="I15" s="33" t="str">
        <f t="shared" si="0"/>
        <v xml:space="preserve">#45 // Illinois </v>
      </c>
      <c r="J15" s="25">
        <v>0</v>
      </c>
      <c r="K15" s="31">
        <v>221</v>
      </c>
      <c r="M15" s="23" t="str">
        <f>CONCATENATE(CI_USA!$P$1,E15,", '",F15,"', '",G15,"' , ",H15," , '",I15,"' , ",J15,",",K15)</f>
        <v>EXECUTE [dbo].[PG_CI_STATE_GEO] 0, 10, 139, 45, 'Illinois ', 'IL' , 1 , '#45 // Illinois ' , 0,221</v>
      </c>
      <c r="N15" s="11"/>
    </row>
    <row r="16" spans="1:16" s="10" customFormat="1" x14ac:dyDescent="0.25">
      <c r="A16" s="19">
        <f t="shared" si="1"/>
        <v>14</v>
      </c>
      <c r="B16" s="20">
        <v>0</v>
      </c>
      <c r="C16" s="20">
        <v>10</v>
      </c>
      <c r="D16" s="20">
        <v>139</v>
      </c>
      <c r="E16" s="35">
        <f t="shared" si="2"/>
        <v>46</v>
      </c>
      <c r="F16" s="21" t="s">
        <v>103</v>
      </c>
      <c r="G16" s="22" t="s">
        <v>152</v>
      </c>
      <c r="H16" s="25">
        <v>1</v>
      </c>
      <c r="I16" s="33" t="str">
        <f t="shared" si="0"/>
        <v xml:space="preserve">#46 // Indiana </v>
      </c>
      <c r="J16" s="25">
        <v>1</v>
      </c>
      <c r="K16" s="31">
        <v>221</v>
      </c>
      <c r="M16" s="23" t="str">
        <f>CONCATENATE(CI_USA!$P$1,E16,", '",F16,"', '",G16,"' , ",H16," , '",I16,"' , ",J16,",",K16)</f>
        <v>EXECUTE [dbo].[PG_CI_STATE_GEO] 0, 10, 139, 46, 'Indiana ', 'IN' , 1 , '#46 // Indiana ' , 1,221</v>
      </c>
      <c r="N16" s="11"/>
    </row>
    <row r="17" spans="1:14" s="10" customFormat="1" x14ac:dyDescent="0.25">
      <c r="A17" s="19">
        <f t="shared" si="1"/>
        <v>15</v>
      </c>
      <c r="B17" s="20">
        <v>0</v>
      </c>
      <c r="C17" s="20">
        <v>10</v>
      </c>
      <c r="D17" s="20">
        <v>139</v>
      </c>
      <c r="E17" s="35">
        <f t="shared" si="2"/>
        <v>47</v>
      </c>
      <c r="F17" s="21" t="s">
        <v>104</v>
      </c>
      <c r="G17" s="22" t="s">
        <v>153</v>
      </c>
      <c r="H17" s="25">
        <v>1</v>
      </c>
      <c r="I17" s="33" t="str">
        <f t="shared" si="0"/>
        <v>#47 // Iowa</v>
      </c>
      <c r="J17" s="25">
        <v>0</v>
      </c>
      <c r="K17" s="31">
        <v>221</v>
      </c>
      <c r="M17" s="23" t="str">
        <f>CONCATENATE(CI_USA!$P$1,E17,", '",F17,"', '",G17,"' , ",H17," , '",I17,"' , ",J17,",",K17)</f>
        <v>EXECUTE [dbo].[PG_CI_STATE_GEO] 0, 10, 139, 47, 'Iowa', 'IA' , 1 , '#47 // Iowa' , 0,221</v>
      </c>
      <c r="N17" s="11"/>
    </row>
    <row r="18" spans="1:14" s="10" customFormat="1" x14ac:dyDescent="0.25">
      <c r="A18" s="19">
        <f t="shared" si="1"/>
        <v>16</v>
      </c>
      <c r="B18" s="20">
        <v>0</v>
      </c>
      <c r="C18" s="20">
        <v>10</v>
      </c>
      <c r="D18" s="20">
        <v>139</v>
      </c>
      <c r="E18" s="35">
        <f t="shared" si="2"/>
        <v>48</v>
      </c>
      <c r="F18" s="21" t="s">
        <v>105</v>
      </c>
      <c r="G18" s="22" t="s">
        <v>154</v>
      </c>
      <c r="H18" s="25">
        <v>1</v>
      </c>
      <c r="I18" s="33" t="str">
        <f t="shared" si="0"/>
        <v xml:space="preserve">#48 // Kansas </v>
      </c>
      <c r="J18" s="25">
        <v>0</v>
      </c>
      <c r="K18" s="31">
        <v>221</v>
      </c>
      <c r="M18" s="23" t="str">
        <f>CONCATENATE(CI_USA!$P$1,E18,", '",F18,"', '",G18,"' , ",H18," , '",I18,"' , ",J18,",",K18)</f>
        <v>EXECUTE [dbo].[PG_CI_STATE_GEO] 0, 10, 139, 48, 'Kansas ', 'KS' , 1 , '#48 // Kansas ' , 0,221</v>
      </c>
      <c r="N18" s="11"/>
    </row>
    <row r="19" spans="1:14" s="10" customFormat="1" x14ac:dyDescent="0.25">
      <c r="A19" s="19">
        <f t="shared" si="1"/>
        <v>17</v>
      </c>
      <c r="B19" s="20">
        <v>0</v>
      </c>
      <c r="C19" s="20">
        <v>10</v>
      </c>
      <c r="D19" s="20">
        <v>139</v>
      </c>
      <c r="E19" s="35">
        <f t="shared" si="2"/>
        <v>49</v>
      </c>
      <c r="F19" s="21" t="s">
        <v>106</v>
      </c>
      <c r="G19" s="22" t="s">
        <v>155</v>
      </c>
      <c r="H19" s="25">
        <v>1</v>
      </c>
      <c r="I19" s="33" t="str">
        <f t="shared" si="0"/>
        <v xml:space="preserve">#49 // Kentucky </v>
      </c>
      <c r="J19" s="25">
        <v>0</v>
      </c>
      <c r="K19" s="31">
        <v>221</v>
      </c>
      <c r="M19" s="23" t="str">
        <f>CONCATENATE(CI_USA!$P$1,E19,", '",F19,"', '",G19,"' , ",H19," , '",I19,"' , ",J19,",",K19)</f>
        <v>EXECUTE [dbo].[PG_CI_STATE_GEO] 0, 10, 139, 49, 'Kentucky ', 'KY' , 1 , '#49 // Kentucky ' , 0,221</v>
      </c>
      <c r="N19" s="11"/>
    </row>
    <row r="20" spans="1:14" s="10" customFormat="1" x14ac:dyDescent="0.25">
      <c r="A20" s="19">
        <f t="shared" si="1"/>
        <v>18</v>
      </c>
      <c r="B20" s="20">
        <v>0</v>
      </c>
      <c r="C20" s="20">
        <v>10</v>
      </c>
      <c r="D20" s="20">
        <v>139</v>
      </c>
      <c r="E20" s="35">
        <f t="shared" si="2"/>
        <v>50</v>
      </c>
      <c r="F20" s="21" t="s">
        <v>107</v>
      </c>
      <c r="G20" s="22" t="s">
        <v>156</v>
      </c>
      <c r="H20" s="25">
        <v>1</v>
      </c>
      <c r="I20" s="33" t="str">
        <f t="shared" si="0"/>
        <v xml:space="preserve">#50 // Louisiana </v>
      </c>
      <c r="J20" s="25">
        <v>0</v>
      </c>
      <c r="K20" s="31">
        <v>221</v>
      </c>
      <c r="M20" s="23" t="str">
        <f>CONCATENATE(CI_USA!$P$1,E20,", '",F20,"', '",G20,"' , ",H20," , '",I20,"' , ",J20,",",K20)</f>
        <v>EXECUTE [dbo].[PG_CI_STATE_GEO] 0, 10, 139, 50, 'Louisiana ', 'LA' , 1 , '#50 // Louisiana ' , 0,221</v>
      </c>
      <c r="N20" s="11"/>
    </row>
    <row r="21" spans="1:14" s="10" customFormat="1" x14ac:dyDescent="0.25">
      <c r="A21" s="19">
        <f t="shared" si="1"/>
        <v>19</v>
      </c>
      <c r="B21" s="20">
        <v>0</v>
      </c>
      <c r="C21" s="20">
        <v>10</v>
      </c>
      <c r="D21" s="20">
        <v>139</v>
      </c>
      <c r="E21" s="35">
        <f t="shared" si="2"/>
        <v>51</v>
      </c>
      <c r="F21" s="21" t="s">
        <v>108</v>
      </c>
      <c r="G21" s="22" t="s">
        <v>157</v>
      </c>
      <c r="H21" s="25">
        <v>1</v>
      </c>
      <c r="I21" s="33" t="str">
        <f t="shared" si="0"/>
        <v xml:space="preserve">#51 // Maine </v>
      </c>
      <c r="J21" s="25">
        <v>0</v>
      </c>
      <c r="K21" s="31">
        <v>221</v>
      </c>
      <c r="M21" s="23" t="str">
        <f>CONCATENATE(CI_USA!$P$1,E21,", '",F21,"', '",G21,"' , ",H21," , '",I21,"' , ",J21,",",K21)</f>
        <v>EXECUTE [dbo].[PG_CI_STATE_GEO] 0, 10, 139, 51, 'Maine ', 'ME' , 1 , '#51 // Maine ' , 0,221</v>
      </c>
      <c r="N21" s="11"/>
    </row>
    <row r="22" spans="1:14" s="10" customFormat="1" x14ac:dyDescent="0.25">
      <c r="A22" s="19">
        <f t="shared" si="1"/>
        <v>20</v>
      </c>
      <c r="B22" s="20">
        <v>0</v>
      </c>
      <c r="C22" s="20">
        <v>10</v>
      </c>
      <c r="D22" s="20">
        <v>139</v>
      </c>
      <c r="E22" s="35">
        <f t="shared" si="2"/>
        <v>52</v>
      </c>
      <c r="F22" s="21" t="s">
        <v>109</v>
      </c>
      <c r="G22" s="22" t="s">
        <v>158</v>
      </c>
      <c r="H22" s="25">
        <v>1</v>
      </c>
      <c r="I22" s="33" t="str">
        <f t="shared" si="0"/>
        <v xml:space="preserve">#52 // Maryland </v>
      </c>
      <c r="J22" s="25">
        <v>0</v>
      </c>
      <c r="K22" s="31">
        <v>221</v>
      </c>
      <c r="M22" s="23" t="str">
        <f>CONCATENATE(CI_USA!$P$1,E22,", '",F22,"', '",G22,"' , ",H22," , '",I22,"' , ",J22,",",K22)</f>
        <v>EXECUTE [dbo].[PG_CI_STATE_GEO] 0, 10, 139, 52, 'Maryland ', 'MD' , 1 , '#52 // Maryland ' , 0,221</v>
      </c>
      <c r="N22" s="11"/>
    </row>
    <row r="23" spans="1:14" s="10" customFormat="1" x14ac:dyDescent="0.25">
      <c r="A23" s="19">
        <f t="shared" si="1"/>
        <v>21</v>
      </c>
      <c r="B23" s="20">
        <v>0</v>
      </c>
      <c r="C23" s="20">
        <v>10</v>
      </c>
      <c r="D23" s="20">
        <v>139</v>
      </c>
      <c r="E23" s="35">
        <f t="shared" si="2"/>
        <v>53</v>
      </c>
      <c r="F23" s="21" t="s">
        <v>110</v>
      </c>
      <c r="G23" s="22" t="s">
        <v>159</v>
      </c>
      <c r="H23" s="25">
        <v>1</v>
      </c>
      <c r="I23" s="33" t="str">
        <f t="shared" si="0"/>
        <v xml:space="preserve">#53 // Massachusetts </v>
      </c>
      <c r="J23" s="25">
        <v>0</v>
      </c>
      <c r="K23" s="31">
        <v>221</v>
      </c>
      <c r="M23" s="23" t="str">
        <f>CONCATENATE(CI_USA!$P$1,E23,", '",F23,"', '",G23,"' , ",H23," , '",I23,"' , ",J23,",",K23)</f>
        <v>EXECUTE [dbo].[PG_CI_STATE_GEO] 0, 10, 139, 53, 'Massachusetts ', 'MA' , 1 , '#53 // Massachusetts ' , 0,221</v>
      </c>
      <c r="N23" s="11"/>
    </row>
    <row r="24" spans="1:14" s="10" customFormat="1" x14ac:dyDescent="0.25">
      <c r="A24" s="19">
        <f t="shared" si="1"/>
        <v>22</v>
      </c>
      <c r="B24" s="20">
        <v>0</v>
      </c>
      <c r="C24" s="20">
        <v>10</v>
      </c>
      <c r="D24" s="20">
        <v>139</v>
      </c>
      <c r="E24" s="35">
        <f t="shared" si="2"/>
        <v>54</v>
      </c>
      <c r="F24" s="21" t="s">
        <v>111</v>
      </c>
      <c r="G24" s="22" t="s">
        <v>160</v>
      </c>
      <c r="H24" s="25">
        <v>1</v>
      </c>
      <c r="I24" s="33" t="str">
        <f t="shared" si="0"/>
        <v>#54 // Michigan</v>
      </c>
      <c r="J24" s="25">
        <v>1</v>
      </c>
      <c r="K24" s="31">
        <v>221</v>
      </c>
      <c r="M24" s="23" t="str">
        <f>CONCATENATE(CI_USA!$P$1,E24,", '",F24,"', '",G24,"' , ",H24," , '",I24,"' , ",J24,",",K24)</f>
        <v>EXECUTE [dbo].[PG_CI_STATE_GEO] 0, 10, 139, 54, 'Michigan', 'MI' , 1 , '#54 // Michigan' , 1,221</v>
      </c>
      <c r="N24" s="11"/>
    </row>
    <row r="25" spans="1:14" s="10" customFormat="1" x14ac:dyDescent="0.25">
      <c r="A25" s="19">
        <f t="shared" si="1"/>
        <v>23</v>
      </c>
      <c r="B25" s="20">
        <v>0</v>
      </c>
      <c r="C25" s="20">
        <v>10</v>
      </c>
      <c r="D25" s="20">
        <v>139</v>
      </c>
      <c r="E25" s="35">
        <f t="shared" si="2"/>
        <v>55</v>
      </c>
      <c r="F25" s="21" t="s">
        <v>112</v>
      </c>
      <c r="G25" s="22" t="s">
        <v>161</v>
      </c>
      <c r="H25" s="25">
        <v>1</v>
      </c>
      <c r="I25" s="33" t="str">
        <f t="shared" si="0"/>
        <v xml:space="preserve">#55 // Minnesota </v>
      </c>
      <c r="J25" s="25">
        <v>0</v>
      </c>
      <c r="K25" s="31">
        <v>221</v>
      </c>
      <c r="M25" s="23" t="str">
        <f>CONCATENATE(CI_USA!$P$1,E25,", '",F25,"', '",G25,"' , ",H25," , '",I25,"' , ",J25,",",K25)</f>
        <v>EXECUTE [dbo].[PG_CI_STATE_GEO] 0, 10, 139, 55, 'Minnesota ', 'MN' , 1 , '#55 // Minnesota ' , 0,221</v>
      </c>
      <c r="N25" s="11"/>
    </row>
    <row r="26" spans="1:14" s="10" customFormat="1" x14ac:dyDescent="0.25">
      <c r="A26" s="19">
        <f t="shared" si="1"/>
        <v>24</v>
      </c>
      <c r="B26" s="20">
        <v>0</v>
      </c>
      <c r="C26" s="20">
        <v>10</v>
      </c>
      <c r="D26" s="20">
        <v>139</v>
      </c>
      <c r="E26" s="35">
        <f t="shared" si="2"/>
        <v>56</v>
      </c>
      <c r="F26" s="21" t="s">
        <v>113</v>
      </c>
      <c r="G26" s="22" t="s">
        <v>162</v>
      </c>
      <c r="H26" s="25">
        <v>1</v>
      </c>
      <c r="I26" s="33" t="str">
        <f t="shared" si="0"/>
        <v xml:space="preserve">#56 // Mississippi </v>
      </c>
      <c r="J26" s="25">
        <v>0</v>
      </c>
      <c r="K26" s="31">
        <v>221</v>
      </c>
      <c r="M26" s="23" t="str">
        <f>CONCATENATE(CI_USA!$P$1,E26,", '",F26,"', '",G26,"' , ",H26," , '",I26,"' , ",J26,",",K26)</f>
        <v>EXECUTE [dbo].[PG_CI_STATE_GEO] 0, 10, 139, 56, 'Mississippi ', 'MS' , 1 , '#56 // Mississippi ' , 0,221</v>
      </c>
      <c r="N26" s="11"/>
    </row>
    <row r="27" spans="1:14" s="10" customFormat="1" x14ac:dyDescent="0.25">
      <c r="A27" s="19">
        <f t="shared" si="1"/>
        <v>25</v>
      </c>
      <c r="B27" s="20">
        <v>0</v>
      </c>
      <c r="C27" s="20">
        <v>10</v>
      </c>
      <c r="D27" s="20">
        <v>139</v>
      </c>
      <c r="E27" s="35">
        <f t="shared" si="2"/>
        <v>57</v>
      </c>
      <c r="F27" s="21" t="s">
        <v>114</v>
      </c>
      <c r="G27" s="22" t="s">
        <v>163</v>
      </c>
      <c r="H27" s="25">
        <v>1</v>
      </c>
      <c r="I27" s="33" t="str">
        <f t="shared" si="0"/>
        <v xml:space="preserve">#57 // Missouri </v>
      </c>
      <c r="J27" s="25">
        <v>0</v>
      </c>
      <c r="K27" s="31">
        <v>221</v>
      </c>
      <c r="M27" s="23" t="str">
        <f>CONCATENATE(CI_USA!$P$1,E27,", '",F27,"', '",G27,"' , ",H27," , '",I27,"' , ",J27,",",K27)</f>
        <v>EXECUTE [dbo].[PG_CI_STATE_GEO] 0, 10, 139, 57, 'Missouri ', 'MO' , 1 , '#57 // Missouri ' , 0,221</v>
      </c>
      <c r="N27" s="11"/>
    </row>
    <row r="28" spans="1:14" s="10" customFormat="1" x14ac:dyDescent="0.25">
      <c r="A28" s="19">
        <f t="shared" si="1"/>
        <v>26</v>
      </c>
      <c r="B28" s="20">
        <v>0</v>
      </c>
      <c r="C28" s="20">
        <v>10</v>
      </c>
      <c r="D28" s="20">
        <v>139</v>
      </c>
      <c r="E28" s="35">
        <f t="shared" si="2"/>
        <v>58</v>
      </c>
      <c r="F28" s="21" t="s">
        <v>115</v>
      </c>
      <c r="G28" s="22" t="s">
        <v>164</v>
      </c>
      <c r="H28" s="25">
        <v>1</v>
      </c>
      <c r="I28" s="33" t="str">
        <f t="shared" si="0"/>
        <v xml:space="preserve">#58 // Montana </v>
      </c>
      <c r="J28" s="25">
        <v>0</v>
      </c>
      <c r="K28" s="31">
        <v>221</v>
      </c>
      <c r="M28" s="23" t="str">
        <f>CONCATENATE(CI_USA!$P$1,E28,", '",F28,"', '",G28,"' , ",H28," , '",I28,"' , ",J28,",",K28)</f>
        <v>EXECUTE [dbo].[PG_CI_STATE_GEO] 0, 10, 139, 58, 'Montana ', 'MT' , 1 , '#58 // Montana ' , 0,221</v>
      </c>
      <c r="N28" s="11"/>
    </row>
    <row r="29" spans="1:14" s="10" customFormat="1" x14ac:dyDescent="0.25">
      <c r="A29" s="19">
        <f t="shared" si="1"/>
        <v>27</v>
      </c>
      <c r="B29" s="20">
        <v>0</v>
      </c>
      <c r="C29" s="20">
        <v>10</v>
      </c>
      <c r="D29" s="20">
        <v>139</v>
      </c>
      <c r="E29" s="35">
        <f t="shared" si="2"/>
        <v>59</v>
      </c>
      <c r="F29" s="21" t="s">
        <v>116</v>
      </c>
      <c r="G29" s="22" t="s">
        <v>165</v>
      </c>
      <c r="H29" s="25">
        <v>1</v>
      </c>
      <c r="I29" s="33" t="str">
        <f t="shared" si="0"/>
        <v xml:space="preserve">#59 // Nebraska </v>
      </c>
      <c r="J29" s="25">
        <v>0</v>
      </c>
      <c r="K29" s="31">
        <v>221</v>
      </c>
      <c r="M29" s="23" t="str">
        <f>CONCATENATE(CI_USA!$P$1,E29,", '",F29,"', '",G29,"' , ",H29," , '",I29,"' , ",J29,",",K29)</f>
        <v>EXECUTE [dbo].[PG_CI_STATE_GEO] 0, 10, 139, 59, 'Nebraska ', 'NE' , 1 , '#59 // Nebraska ' , 0,221</v>
      </c>
      <c r="N29" s="11"/>
    </row>
    <row r="30" spans="1:14" s="10" customFormat="1" x14ac:dyDescent="0.25">
      <c r="A30" s="19">
        <f t="shared" si="1"/>
        <v>28</v>
      </c>
      <c r="B30" s="20">
        <v>0</v>
      </c>
      <c r="C30" s="20">
        <v>10</v>
      </c>
      <c r="D30" s="20">
        <v>139</v>
      </c>
      <c r="E30" s="35">
        <f t="shared" si="2"/>
        <v>60</v>
      </c>
      <c r="F30" s="21" t="s">
        <v>117</v>
      </c>
      <c r="G30" s="22" t="s">
        <v>166</v>
      </c>
      <c r="H30" s="25">
        <v>1</v>
      </c>
      <c r="I30" s="33" t="str">
        <f t="shared" si="0"/>
        <v xml:space="preserve">#60 // Nevada </v>
      </c>
      <c r="J30" s="25">
        <v>0</v>
      </c>
      <c r="K30" s="31">
        <v>221</v>
      </c>
      <c r="M30" s="23" t="str">
        <f>CONCATENATE(CI_USA!$P$1,E30,", '",F30,"', '",G30,"' , ",H30," , '",I30,"' , ",J30,",",K30)</f>
        <v>EXECUTE [dbo].[PG_CI_STATE_GEO] 0, 10, 139, 60, 'Nevada ', 'NV' , 1 , '#60 // Nevada ' , 0,221</v>
      </c>
      <c r="N30" s="11"/>
    </row>
    <row r="31" spans="1:14" s="10" customFormat="1" x14ac:dyDescent="0.25">
      <c r="A31" s="19">
        <f t="shared" si="1"/>
        <v>29</v>
      </c>
      <c r="B31" s="20">
        <v>0</v>
      </c>
      <c r="C31" s="20">
        <v>10</v>
      </c>
      <c r="D31" s="20">
        <v>139</v>
      </c>
      <c r="E31" s="35">
        <f t="shared" si="2"/>
        <v>61</v>
      </c>
      <c r="F31" s="21" t="s">
        <v>118</v>
      </c>
      <c r="G31" s="22" t="s">
        <v>167</v>
      </c>
      <c r="H31" s="25">
        <v>1</v>
      </c>
      <c r="I31" s="33" t="str">
        <f t="shared" si="0"/>
        <v xml:space="preserve">#61 // New Hampshire </v>
      </c>
      <c r="J31" s="25">
        <v>0</v>
      </c>
      <c r="K31" s="31">
        <v>221</v>
      </c>
      <c r="M31" s="23" t="str">
        <f>CONCATENATE(CI_USA!$P$1,E31,", '",F31,"', '",G31,"' , ",H31," , '",I31,"' , ",J31,",",K31)</f>
        <v>EXECUTE [dbo].[PG_CI_STATE_GEO] 0, 10, 139, 61, 'New Hampshire ', 'NH' , 1 , '#61 // New Hampshire ' , 0,221</v>
      </c>
      <c r="N31" s="11"/>
    </row>
    <row r="32" spans="1:14" s="10" customFormat="1" x14ac:dyDescent="0.25">
      <c r="A32" s="19">
        <f t="shared" si="1"/>
        <v>30</v>
      </c>
      <c r="B32" s="20">
        <v>0</v>
      </c>
      <c r="C32" s="20">
        <v>10</v>
      </c>
      <c r="D32" s="20">
        <v>139</v>
      </c>
      <c r="E32" s="35">
        <f t="shared" si="2"/>
        <v>62</v>
      </c>
      <c r="F32" s="21" t="s">
        <v>119</v>
      </c>
      <c r="G32" s="22" t="s">
        <v>168</v>
      </c>
      <c r="H32" s="25">
        <v>1</v>
      </c>
      <c r="I32" s="33" t="str">
        <f t="shared" si="0"/>
        <v xml:space="preserve">#62 // New Jersey </v>
      </c>
      <c r="J32" s="25">
        <v>0</v>
      </c>
      <c r="K32" s="31">
        <v>221</v>
      </c>
      <c r="M32" s="23" t="str">
        <f>CONCATENATE(CI_USA!$P$1,E32,", '",F32,"', '",G32,"' , ",H32," , '",I32,"' , ",J32,",",K32)</f>
        <v>EXECUTE [dbo].[PG_CI_STATE_GEO] 0, 10, 139, 62, 'New Jersey ', 'NJ' , 1 , '#62 // New Jersey ' , 0,221</v>
      </c>
      <c r="N32" s="11"/>
    </row>
    <row r="33" spans="1:14" s="10" customFormat="1" x14ac:dyDescent="0.25">
      <c r="A33" s="19">
        <f t="shared" si="1"/>
        <v>31</v>
      </c>
      <c r="B33" s="20">
        <v>0</v>
      </c>
      <c r="C33" s="20">
        <v>10</v>
      </c>
      <c r="D33" s="20">
        <v>139</v>
      </c>
      <c r="E33" s="35">
        <f t="shared" si="2"/>
        <v>63</v>
      </c>
      <c r="F33" s="21" t="s">
        <v>120</v>
      </c>
      <c r="G33" s="22" t="s">
        <v>169</v>
      </c>
      <c r="H33" s="25">
        <v>1</v>
      </c>
      <c r="I33" s="33" t="str">
        <f t="shared" si="0"/>
        <v xml:space="preserve">#63 // New Mexico </v>
      </c>
      <c r="J33" s="25">
        <v>0</v>
      </c>
      <c r="K33" s="31">
        <v>221</v>
      </c>
      <c r="M33" s="23" t="str">
        <f>CONCATENATE(CI_USA!$P$1,E33,", '",F33,"', '",G33,"' , ",H33," , '",I33,"' , ",J33,",",K33)</f>
        <v>EXECUTE [dbo].[PG_CI_STATE_GEO] 0, 10, 139, 63, 'New Mexico ', 'NM' , 1 , '#63 // New Mexico ' , 0,221</v>
      </c>
      <c r="N33" s="11"/>
    </row>
    <row r="34" spans="1:14" s="10" customFormat="1" x14ac:dyDescent="0.25">
      <c r="A34" s="19">
        <f t="shared" si="1"/>
        <v>32</v>
      </c>
      <c r="B34" s="20">
        <v>0</v>
      </c>
      <c r="C34" s="20">
        <v>10</v>
      </c>
      <c r="D34" s="20">
        <v>139</v>
      </c>
      <c r="E34" s="35">
        <f t="shared" si="2"/>
        <v>64</v>
      </c>
      <c r="F34" s="21" t="s">
        <v>121</v>
      </c>
      <c r="G34" s="22" t="s">
        <v>170</v>
      </c>
      <c r="H34" s="25">
        <v>1</v>
      </c>
      <c r="I34" s="33" t="str">
        <f t="shared" si="0"/>
        <v xml:space="preserve">#64 // New York </v>
      </c>
      <c r="J34" s="25">
        <v>1</v>
      </c>
      <c r="K34" s="31">
        <v>221</v>
      </c>
      <c r="M34" s="23" t="str">
        <f>CONCATENATE(CI_USA!$P$1,E34,", '",F34,"', '",G34,"' , ",H34," , '",I34,"' , ",J34,",",K34)</f>
        <v>EXECUTE [dbo].[PG_CI_STATE_GEO] 0, 10, 139, 64, 'New York ', 'NY' , 1 , '#64 // New York ' , 1,221</v>
      </c>
      <c r="N34" s="11"/>
    </row>
    <row r="35" spans="1:14" s="10" customFormat="1" x14ac:dyDescent="0.25">
      <c r="A35" s="19">
        <f t="shared" si="1"/>
        <v>33</v>
      </c>
      <c r="B35" s="20">
        <v>0</v>
      </c>
      <c r="C35" s="20">
        <v>10</v>
      </c>
      <c r="D35" s="20">
        <v>139</v>
      </c>
      <c r="E35" s="35">
        <f t="shared" si="2"/>
        <v>65</v>
      </c>
      <c r="F35" s="21" t="s">
        <v>122</v>
      </c>
      <c r="G35" s="22" t="s">
        <v>171</v>
      </c>
      <c r="H35" s="25">
        <v>1</v>
      </c>
      <c r="I35" s="33" t="str">
        <f t="shared" si="0"/>
        <v xml:space="preserve">#65 // North Carolina </v>
      </c>
      <c r="J35" s="25">
        <v>0</v>
      </c>
      <c r="K35" s="31">
        <v>221</v>
      </c>
      <c r="M35" s="23" t="str">
        <f>CONCATENATE(CI_USA!$P$1,E35,", '",F35,"', '",G35,"' , ",H35," , '",I35,"' , ",J35,",",K35)</f>
        <v>EXECUTE [dbo].[PG_CI_STATE_GEO] 0, 10, 139, 65, 'North Carolina ', 'NC' , 1 , '#65 // North Carolina ' , 0,221</v>
      </c>
      <c r="N35" s="11"/>
    </row>
    <row r="36" spans="1:14" s="10" customFormat="1" x14ac:dyDescent="0.25">
      <c r="A36" s="19">
        <f t="shared" ref="A36:A52" si="3">+A35+1</f>
        <v>34</v>
      </c>
      <c r="B36" s="20">
        <v>0</v>
      </c>
      <c r="C36" s="20">
        <v>10</v>
      </c>
      <c r="D36" s="20">
        <v>139</v>
      </c>
      <c r="E36" s="35">
        <f t="shared" ref="E36:E52" si="4">+E35+1</f>
        <v>66</v>
      </c>
      <c r="F36" s="21" t="s">
        <v>123</v>
      </c>
      <c r="G36" s="22" t="s">
        <v>172</v>
      </c>
      <c r="H36" s="25">
        <v>1</v>
      </c>
      <c r="I36" s="33" t="str">
        <f t="shared" ref="I36:I52" si="5">CONCATENATE("#",E36," // ",F36)</f>
        <v xml:space="preserve">#66 // North Dakota </v>
      </c>
      <c r="J36" s="25">
        <v>0</v>
      </c>
      <c r="K36" s="31">
        <v>221</v>
      </c>
      <c r="M36" s="23" t="str">
        <f>CONCATENATE(CI_USA!$P$1,E36,", '",F36,"', '",G36,"' , ",H36," , '",I36,"' , ",J36,",",K36)</f>
        <v>EXECUTE [dbo].[PG_CI_STATE_GEO] 0, 10, 139, 66, 'North Dakota ', 'ND' , 1 , '#66 // North Dakota ' , 0,221</v>
      </c>
      <c r="N36" s="11"/>
    </row>
    <row r="37" spans="1:14" s="10" customFormat="1" x14ac:dyDescent="0.25">
      <c r="A37" s="19">
        <f t="shared" si="3"/>
        <v>35</v>
      </c>
      <c r="B37" s="20">
        <v>0</v>
      </c>
      <c r="C37" s="20">
        <v>10</v>
      </c>
      <c r="D37" s="20">
        <v>139</v>
      </c>
      <c r="E37" s="35">
        <f t="shared" si="4"/>
        <v>67</v>
      </c>
      <c r="F37" s="21" t="s">
        <v>124</v>
      </c>
      <c r="G37" s="22" t="s">
        <v>173</v>
      </c>
      <c r="H37" s="25">
        <v>1</v>
      </c>
      <c r="I37" s="33" t="str">
        <f t="shared" si="5"/>
        <v>#67 // Ohio</v>
      </c>
      <c r="J37" s="25">
        <v>0</v>
      </c>
      <c r="K37" s="31">
        <v>221</v>
      </c>
      <c r="M37" s="23" t="str">
        <f>CONCATENATE(CI_USA!$P$1,E37,", '",F37,"', '",G37,"' , ",H37," , '",I37,"' , ",J37,",",K37)</f>
        <v>EXECUTE [dbo].[PG_CI_STATE_GEO] 0, 10, 139, 67, 'Ohio', 'OH' , 1 , '#67 // Ohio' , 0,221</v>
      </c>
      <c r="N37" s="11"/>
    </row>
    <row r="38" spans="1:14" s="10" customFormat="1" x14ac:dyDescent="0.25">
      <c r="A38" s="19">
        <f t="shared" si="3"/>
        <v>36</v>
      </c>
      <c r="B38" s="20">
        <v>0</v>
      </c>
      <c r="C38" s="20">
        <v>10</v>
      </c>
      <c r="D38" s="20">
        <v>139</v>
      </c>
      <c r="E38" s="35">
        <f t="shared" si="4"/>
        <v>68</v>
      </c>
      <c r="F38" s="21" t="s">
        <v>125</v>
      </c>
      <c r="G38" s="22" t="s">
        <v>174</v>
      </c>
      <c r="H38" s="25">
        <v>1</v>
      </c>
      <c r="I38" s="33" t="str">
        <f t="shared" si="5"/>
        <v xml:space="preserve">#68 // Oklahoma </v>
      </c>
      <c r="J38" s="25">
        <v>0</v>
      </c>
      <c r="K38" s="31">
        <v>221</v>
      </c>
      <c r="M38" s="23" t="str">
        <f>CONCATENATE(CI_USA!$P$1,E38,", '",F38,"', '",G38,"' , ",H38," , '",I38,"' , ",J38,",",K38)</f>
        <v>EXECUTE [dbo].[PG_CI_STATE_GEO] 0, 10, 139, 68, 'Oklahoma ', 'OK' , 1 , '#68 // Oklahoma ' , 0,221</v>
      </c>
      <c r="N38" s="11"/>
    </row>
    <row r="39" spans="1:14" s="10" customFormat="1" x14ac:dyDescent="0.25">
      <c r="A39" s="19">
        <f t="shared" si="3"/>
        <v>37</v>
      </c>
      <c r="B39" s="20">
        <v>0</v>
      </c>
      <c r="C39" s="20">
        <v>10</v>
      </c>
      <c r="D39" s="20">
        <v>139</v>
      </c>
      <c r="E39" s="35">
        <f t="shared" si="4"/>
        <v>69</v>
      </c>
      <c r="F39" s="21" t="s">
        <v>126</v>
      </c>
      <c r="G39" s="22" t="s">
        <v>175</v>
      </c>
      <c r="H39" s="25">
        <v>1</v>
      </c>
      <c r="I39" s="33" t="str">
        <f t="shared" si="5"/>
        <v xml:space="preserve">#69 // Oregon </v>
      </c>
      <c r="J39" s="25">
        <v>0</v>
      </c>
      <c r="K39" s="31">
        <v>221</v>
      </c>
      <c r="M39" s="23" t="str">
        <f>CONCATENATE(CI_USA!$P$1,E39,", '",F39,"', '",G39,"' , ",H39," , '",I39,"' , ",J39,",",K39)</f>
        <v>EXECUTE [dbo].[PG_CI_STATE_GEO] 0, 10, 139, 69, 'Oregon ', 'OR' , 1 , '#69 // Oregon ' , 0,221</v>
      </c>
      <c r="N39" s="11"/>
    </row>
    <row r="40" spans="1:14" s="10" customFormat="1" x14ac:dyDescent="0.25">
      <c r="A40" s="19">
        <f t="shared" si="3"/>
        <v>38</v>
      </c>
      <c r="B40" s="20">
        <v>0</v>
      </c>
      <c r="C40" s="20">
        <v>10</v>
      </c>
      <c r="D40" s="20">
        <v>139</v>
      </c>
      <c r="E40" s="35">
        <f t="shared" si="4"/>
        <v>70</v>
      </c>
      <c r="F40" s="21" t="s">
        <v>127</v>
      </c>
      <c r="G40" s="22" t="s">
        <v>176</v>
      </c>
      <c r="H40" s="25">
        <v>1</v>
      </c>
      <c r="I40" s="33" t="str">
        <f t="shared" si="5"/>
        <v xml:space="preserve">#70 // Pennsylvania </v>
      </c>
      <c r="J40" s="25">
        <v>0</v>
      </c>
      <c r="K40" s="31">
        <v>221</v>
      </c>
      <c r="M40" s="23" t="str">
        <f>CONCATENATE(CI_USA!$P$1,E40,", '",F40,"', '",G40,"' , ",H40," , '",I40,"' , ",J40,",",K40)</f>
        <v>EXECUTE [dbo].[PG_CI_STATE_GEO] 0, 10, 139, 70, 'Pennsylvania ', 'PA' , 1 , '#70 // Pennsylvania ' , 0,221</v>
      </c>
      <c r="N40" s="11"/>
    </row>
    <row r="41" spans="1:14" s="10" customFormat="1" x14ac:dyDescent="0.25">
      <c r="A41" s="19">
        <f t="shared" si="3"/>
        <v>39</v>
      </c>
      <c r="B41" s="20">
        <v>0</v>
      </c>
      <c r="C41" s="20">
        <v>10</v>
      </c>
      <c r="D41" s="20">
        <v>139</v>
      </c>
      <c r="E41" s="35">
        <f t="shared" si="4"/>
        <v>71</v>
      </c>
      <c r="F41" s="21" t="s">
        <v>128</v>
      </c>
      <c r="G41" s="22" t="s">
        <v>177</v>
      </c>
      <c r="H41" s="25">
        <v>1</v>
      </c>
      <c r="I41" s="33" t="str">
        <f t="shared" si="5"/>
        <v xml:space="preserve">#71 // Rhode Island </v>
      </c>
      <c r="J41" s="25">
        <v>0</v>
      </c>
      <c r="K41" s="31">
        <v>221</v>
      </c>
      <c r="M41" s="23" t="str">
        <f>CONCATENATE(CI_USA!$P$1,E41,", '",F41,"', '",G41,"' , ",H41," , '",I41,"' , ",J41,",",K41)</f>
        <v>EXECUTE [dbo].[PG_CI_STATE_GEO] 0, 10, 139, 71, 'Rhode Island ', 'RI' , 1 , '#71 // Rhode Island ' , 0,221</v>
      </c>
      <c r="N41" s="11"/>
    </row>
    <row r="42" spans="1:14" s="10" customFormat="1" x14ac:dyDescent="0.25">
      <c r="A42" s="19">
        <f t="shared" si="3"/>
        <v>40</v>
      </c>
      <c r="B42" s="20">
        <v>0</v>
      </c>
      <c r="C42" s="20">
        <v>10</v>
      </c>
      <c r="D42" s="20">
        <v>139</v>
      </c>
      <c r="E42" s="35">
        <f t="shared" si="4"/>
        <v>72</v>
      </c>
      <c r="F42" s="21" t="s">
        <v>129</v>
      </c>
      <c r="G42" s="22" t="s">
        <v>178</v>
      </c>
      <c r="H42" s="25">
        <v>1</v>
      </c>
      <c r="I42" s="33" t="str">
        <f t="shared" si="5"/>
        <v xml:space="preserve">#72 // South Carolina </v>
      </c>
      <c r="J42" s="25">
        <v>0</v>
      </c>
      <c r="K42" s="31">
        <v>221</v>
      </c>
      <c r="M42" s="23" t="str">
        <f>CONCATENATE(CI_USA!$P$1,E42,", '",F42,"', '",G42,"' , ",H42," , '",I42,"' , ",J42,",",K42)</f>
        <v>EXECUTE [dbo].[PG_CI_STATE_GEO] 0, 10, 139, 72, 'South Carolina ', 'SC' , 1 , '#72 // South Carolina ' , 0,221</v>
      </c>
      <c r="N42" s="11"/>
    </row>
    <row r="43" spans="1:14" s="10" customFormat="1" x14ac:dyDescent="0.25">
      <c r="A43" s="19">
        <f t="shared" si="3"/>
        <v>41</v>
      </c>
      <c r="B43" s="20">
        <v>0</v>
      </c>
      <c r="C43" s="20">
        <v>10</v>
      </c>
      <c r="D43" s="20">
        <v>139</v>
      </c>
      <c r="E43" s="35">
        <f t="shared" si="4"/>
        <v>73</v>
      </c>
      <c r="F43" s="21" t="s">
        <v>130</v>
      </c>
      <c r="G43" s="22" t="s">
        <v>179</v>
      </c>
      <c r="H43" s="25">
        <v>1</v>
      </c>
      <c r="I43" s="33" t="str">
        <f t="shared" si="5"/>
        <v xml:space="preserve">#73 // South Dakota </v>
      </c>
      <c r="J43" s="25">
        <v>0</v>
      </c>
      <c r="K43" s="31">
        <v>221</v>
      </c>
      <c r="M43" s="23" t="str">
        <f>CONCATENATE(CI_USA!$P$1,E43,", '",F43,"', '",G43,"' , ",H43," , '",I43,"' , ",J43,",",K43)</f>
        <v>EXECUTE [dbo].[PG_CI_STATE_GEO] 0, 10, 139, 73, 'South Dakota ', 'SD' , 1 , '#73 // South Dakota ' , 0,221</v>
      </c>
      <c r="N43" s="11"/>
    </row>
    <row r="44" spans="1:14" s="10" customFormat="1" x14ac:dyDescent="0.25">
      <c r="A44" s="19">
        <f t="shared" si="3"/>
        <v>42</v>
      </c>
      <c r="B44" s="20">
        <v>0</v>
      </c>
      <c r="C44" s="20">
        <v>10</v>
      </c>
      <c r="D44" s="20">
        <v>139</v>
      </c>
      <c r="E44" s="35">
        <f t="shared" si="4"/>
        <v>74</v>
      </c>
      <c r="F44" s="21" t="s">
        <v>131</v>
      </c>
      <c r="G44" s="22" t="s">
        <v>180</v>
      </c>
      <c r="H44" s="25">
        <v>1</v>
      </c>
      <c r="I44" s="33" t="str">
        <f t="shared" si="5"/>
        <v xml:space="preserve">#74 // Tennessee </v>
      </c>
      <c r="J44" s="25">
        <v>0</v>
      </c>
      <c r="K44" s="31">
        <v>221</v>
      </c>
      <c r="M44" s="23" t="str">
        <f>CONCATENATE(CI_USA!$P$1,E44,", '",F44,"', '",G44,"' , ",H44," , '",I44,"' , ",J44,",",K44)</f>
        <v>EXECUTE [dbo].[PG_CI_STATE_GEO] 0, 10, 139, 74, 'Tennessee ', 'TN' , 1 , '#74 // Tennessee ' , 0,221</v>
      </c>
      <c r="N44" s="11"/>
    </row>
    <row r="45" spans="1:14" s="10" customFormat="1" x14ac:dyDescent="0.25">
      <c r="A45" s="19">
        <f t="shared" si="3"/>
        <v>43</v>
      </c>
      <c r="B45" s="20">
        <v>0</v>
      </c>
      <c r="C45" s="20">
        <v>10</v>
      </c>
      <c r="D45" s="20">
        <v>139</v>
      </c>
      <c r="E45" s="35">
        <f t="shared" si="4"/>
        <v>75</v>
      </c>
      <c r="F45" s="21" t="s">
        <v>132</v>
      </c>
      <c r="G45" s="22" t="s">
        <v>181</v>
      </c>
      <c r="H45" s="25">
        <v>1</v>
      </c>
      <c r="I45" s="33" t="str">
        <f t="shared" si="5"/>
        <v xml:space="preserve">#75 // Texas </v>
      </c>
      <c r="J45" s="25">
        <v>1</v>
      </c>
      <c r="K45" s="31">
        <v>221</v>
      </c>
      <c r="M45" s="23" t="str">
        <f>CONCATENATE(CI_USA!$P$1,E45,", '",F45,"', '",G45,"' , ",H45," , '",I45,"' , ",J45,",",K45)</f>
        <v>EXECUTE [dbo].[PG_CI_STATE_GEO] 0, 10, 139, 75, 'Texas ', 'TX' , 1 , '#75 // Texas ' , 1,221</v>
      </c>
      <c r="N45" s="11"/>
    </row>
    <row r="46" spans="1:14" s="10" customFormat="1" x14ac:dyDescent="0.25">
      <c r="A46" s="19">
        <f t="shared" si="3"/>
        <v>44</v>
      </c>
      <c r="B46" s="20">
        <v>0</v>
      </c>
      <c r="C46" s="20">
        <v>10</v>
      </c>
      <c r="D46" s="20">
        <v>139</v>
      </c>
      <c r="E46" s="35">
        <f t="shared" si="4"/>
        <v>76</v>
      </c>
      <c r="F46" s="21" t="s">
        <v>133</v>
      </c>
      <c r="G46" s="22" t="s">
        <v>182</v>
      </c>
      <c r="H46" s="25">
        <v>1</v>
      </c>
      <c r="I46" s="33" t="str">
        <f t="shared" si="5"/>
        <v xml:space="preserve">#76 // Utah </v>
      </c>
      <c r="J46" s="25">
        <v>0</v>
      </c>
      <c r="K46" s="31">
        <v>221</v>
      </c>
      <c r="M46" s="23" t="str">
        <f>CONCATENATE(CI_USA!$P$1,E46,", '",F46,"', '",G46,"' , ",H46," , '",I46,"' , ",J46,",",K46)</f>
        <v>EXECUTE [dbo].[PG_CI_STATE_GEO] 0, 10, 139, 76, 'Utah ', 'UT' , 1 , '#76 // Utah ' , 0,221</v>
      </c>
      <c r="N46" s="11"/>
    </row>
    <row r="47" spans="1:14" s="10" customFormat="1" x14ac:dyDescent="0.25">
      <c r="A47" s="19">
        <f t="shared" si="3"/>
        <v>45</v>
      </c>
      <c r="B47" s="20">
        <v>0</v>
      </c>
      <c r="C47" s="20">
        <v>10</v>
      </c>
      <c r="D47" s="20">
        <v>139</v>
      </c>
      <c r="E47" s="35">
        <f t="shared" si="4"/>
        <v>77</v>
      </c>
      <c r="F47" s="21" t="s">
        <v>134</v>
      </c>
      <c r="G47" s="22" t="s">
        <v>183</v>
      </c>
      <c r="H47" s="25">
        <v>1</v>
      </c>
      <c r="I47" s="33" t="str">
        <f t="shared" si="5"/>
        <v xml:space="preserve">#77 // Vermont </v>
      </c>
      <c r="J47" s="25">
        <v>0</v>
      </c>
      <c r="K47" s="31">
        <v>221</v>
      </c>
      <c r="M47" s="23" t="str">
        <f>CONCATENATE(CI_USA!$P$1,E47,", '",F47,"', '",G47,"' , ",H47," , '",I47,"' , ",J47,",",K47)</f>
        <v>EXECUTE [dbo].[PG_CI_STATE_GEO] 0, 10, 139, 77, 'Vermont ', 'VT' , 1 , '#77 // Vermont ' , 0,221</v>
      </c>
      <c r="N47" s="11"/>
    </row>
    <row r="48" spans="1:14" s="10" customFormat="1" x14ac:dyDescent="0.25">
      <c r="A48" s="19">
        <f t="shared" si="3"/>
        <v>46</v>
      </c>
      <c r="B48" s="20">
        <v>0</v>
      </c>
      <c r="C48" s="20">
        <v>10</v>
      </c>
      <c r="D48" s="20">
        <v>139</v>
      </c>
      <c r="E48" s="35">
        <f t="shared" si="4"/>
        <v>78</v>
      </c>
      <c r="F48" s="21" t="s">
        <v>135</v>
      </c>
      <c r="G48" s="22" t="s">
        <v>184</v>
      </c>
      <c r="H48" s="25">
        <v>1</v>
      </c>
      <c r="I48" s="33" t="str">
        <f t="shared" si="5"/>
        <v xml:space="preserve">#78 // Virginia </v>
      </c>
      <c r="J48" s="25">
        <v>0</v>
      </c>
      <c r="K48" s="31">
        <v>221</v>
      </c>
      <c r="M48" s="23" t="str">
        <f>CONCATENATE(CI_USA!$P$1,E48,", '",F48,"', '",G48,"' , ",H48," , '",I48,"' , ",J48,",",K48)</f>
        <v>EXECUTE [dbo].[PG_CI_STATE_GEO] 0, 10, 139, 78, 'Virginia ', 'VA' , 1 , '#78 // Virginia ' , 0,221</v>
      </c>
      <c r="N48" s="11"/>
    </row>
    <row r="49" spans="1:14" s="10" customFormat="1" x14ac:dyDescent="0.25">
      <c r="A49" s="19">
        <f t="shared" si="3"/>
        <v>47</v>
      </c>
      <c r="B49" s="20">
        <v>0</v>
      </c>
      <c r="C49" s="20">
        <v>10</v>
      </c>
      <c r="D49" s="20">
        <v>139</v>
      </c>
      <c r="E49" s="35">
        <f t="shared" si="4"/>
        <v>79</v>
      </c>
      <c r="F49" s="21" t="s">
        <v>136</v>
      </c>
      <c r="G49" s="22" t="s">
        <v>185</v>
      </c>
      <c r="H49" s="25">
        <v>1</v>
      </c>
      <c r="I49" s="33" t="str">
        <f t="shared" si="5"/>
        <v xml:space="preserve">#79 // Washington </v>
      </c>
      <c r="J49" s="25">
        <v>1</v>
      </c>
      <c r="K49" s="31">
        <v>221</v>
      </c>
      <c r="M49" s="23" t="str">
        <f>CONCATENATE(CI_USA!$P$1,E49,", '",F49,"', '",G49,"' , ",H49," , '",I49,"' , ",J49,",",K49)</f>
        <v>EXECUTE [dbo].[PG_CI_STATE_GEO] 0, 10, 139, 79, 'Washington ', 'WA' , 1 , '#79 // Washington ' , 1,221</v>
      </c>
      <c r="N49" s="11"/>
    </row>
    <row r="50" spans="1:14" s="10" customFormat="1" x14ac:dyDescent="0.25">
      <c r="A50" s="19">
        <f t="shared" si="3"/>
        <v>48</v>
      </c>
      <c r="B50" s="20">
        <v>0</v>
      </c>
      <c r="C50" s="20">
        <v>10</v>
      </c>
      <c r="D50" s="20">
        <v>139</v>
      </c>
      <c r="E50" s="35">
        <f t="shared" si="4"/>
        <v>80</v>
      </c>
      <c r="F50" s="21" t="s">
        <v>137</v>
      </c>
      <c r="G50" s="22" t="s">
        <v>186</v>
      </c>
      <c r="H50" s="25">
        <v>1</v>
      </c>
      <c r="I50" s="33" t="str">
        <f t="shared" si="5"/>
        <v xml:space="preserve">#80 // West Virginia </v>
      </c>
      <c r="J50" s="25">
        <v>0</v>
      </c>
      <c r="K50" s="31">
        <v>221</v>
      </c>
      <c r="M50" s="23" t="str">
        <f>CONCATENATE(CI_USA!$P$1,E50,", '",F50,"', '",G50,"' , ",H50," , '",I50,"' , ",J50,",",K50)</f>
        <v>EXECUTE [dbo].[PG_CI_STATE_GEO] 0, 10, 139, 80, 'West Virginia ', 'WV' , 1 , '#80 // West Virginia ' , 0,221</v>
      </c>
      <c r="N50" s="11"/>
    </row>
    <row r="51" spans="1:14" s="10" customFormat="1" x14ac:dyDescent="0.25">
      <c r="A51" s="19">
        <f t="shared" si="3"/>
        <v>49</v>
      </c>
      <c r="B51" s="20">
        <v>0</v>
      </c>
      <c r="C51" s="20">
        <v>10</v>
      </c>
      <c r="D51" s="20">
        <v>139</v>
      </c>
      <c r="E51" s="35">
        <f t="shared" si="4"/>
        <v>81</v>
      </c>
      <c r="F51" s="21" t="s">
        <v>138</v>
      </c>
      <c r="G51" s="22" t="s">
        <v>187</v>
      </c>
      <c r="H51" s="25">
        <v>1</v>
      </c>
      <c r="I51" s="33" t="str">
        <f t="shared" si="5"/>
        <v xml:space="preserve">#81 // Wisconsin </v>
      </c>
      <c r="J51" s="25">
        <v>0</v>
      </c>
      <c r="K51" s="31">
        <v>221</v>
      </c>
      <c r="M51" s="23" t="str">
        <f>CONCATENATE(CI_USA!$P$1,E51,", '",F51,"', '",G51,"' , ",H51," , '",I51,"' , ",J51,",",K51)</f>
        <v>EXECUTE [dbo].[PG_CI_STATE_GEO] 0, 10, 139, 81, 'Wisconsin ', 'WI' , 1 , '#81 // Wisconsin ' , 0,221</v>
      </c>
      <c r="N51" s="11"/>
    </row>
    <row r="52" spans="1:14" s="10" customFormat="1" x14ac:dyDescent="0.25">
      <c r="A52" s="19">
        <f t="shared" si="3"/>
        <v>50</v>
      </c>
      <c r="B52" s="20">
        <v>0</v>
      </c>
      <c r="C52" s="20">
        <v>10</v>
      </c>
      <c r="D52" s="20">
        <v>139</v>
      </c>
      <c r="E52" s="35">
        <f t="shared" si="4"/>
        <v>82</v>
      </c>
      <c r="F52" s="21" t="s">
        <v>89</v>
      </c>
      <c r="G52" s="22" t="s">
        <v>188</v>
      </c>
      <c r="H52" s="25">
        <v>1</v>
      </c>
      <c r="I52" s="33" t="str">
        <f t="shared" si="5"/>
        <v>#82 // Wyoming</v>
      </c>
      <c r="J52" s="25">
        <v>0</v>
      </c>
      <c r="K52" s="31">
        <v>221</v>
      </c>
      <c r="M52" s="23" t="str">
        <f>CONCATENATE(CI_USA!$P$1,E52,", '",F52,"', '",G52,"' , ",H52," , '",I52,"' , ",J52,",",K52)</f>
        <v>EXECUTE [dbo].[PG_CI_STATE_GEO] 0, 10, 139, 82, 'Wyoming', 'WY' , 1 , '#82 // Wyoming' , 0,221</v>
      </c>
      <c r="N52" s="11"/>
    </row>
    <row r="53" spans="1:14" s="10" customFormat="1" x14ac:dyDescent="0.25">
      <c r="A53" s="19"/>
      <c r="B53" s="20"/>
      <c r="C53" s="20"/>
      <c r="D53" s="20"/>
      <c r="E53" s="27"/>
      <c r="F53" s="21"/>
      <c r="G53" s="22"/>
      <c r="H53" s="25"/>
      <c r="I53" s="33"/>
      <c r="J53" s="25"/>
      <c r="K53" s="31"/>
      <c r="M53" s="23"/>
      <c r="N53" s="11"/>
    </row>
    <row r="54" spans="1:14" s="10" customFormat="1" x14ac:dyDescent="0.25">
      <c r="A54" s="19"/>
      <c r="B54" s="20"/>
      <c r="C54" s="20"/>
      <c r="D54" s="20"/>
      <c r="E54" s="27"/>
      <c r="F54" s="21"/>
      <c r="G54" s="22"/>
      <c r="H54" s="25"/>
      <c r="I54" s="33"/>
      <c r="J54" s="25"/>
      <c r="K54" s="31"/>
      <c r="M54" s="23"/>
      <c r="N54" s="11"/>
    </row>
    <row r="55" spans="1:14" s="10" customFormat="1" x14ac:dyDescent="0.25">
      <c r="A55" s="19"/>
      <c r="B55" s="20"/>
      <c r="C55" s="20"/>
      <c r="D55" s="20"/>
      <c r="E55" s="27"/>
      <c r="F55" s="21"/>
      <c r="G55" s="22"/>
      <c r="H55" s="25"/>
      <c r="I55" s="33"/>
      <c r="J55" s="25"/>
      <c r="K55" s="31"/>
      <c r="M55" s="23"/>
      <c r="N55" s="11"/>
    </row>
    <row r="56" spans="1:14" s="10" customFormat="1" x14ac:dyDescent="0.25">
      <c r="A56" s="19"/>
      <c r="B56" s="20"/>
      <c r="C56" s="20"/>
      <c r="D56" s="20"/>
      <c r="E56" s="27"/>
      <c r="F56" s="21"/>
      <c r="G56" s="22"/>
      <c r="H56" s="25"/>
      <c r="I56" s="33"/>
      <c r="J56" s="25"/>
      <c r="K56" s="31"/>
      <c r="M56" s="23"/>
      <c r="N56" s="11"/>
    </row>
    <row r="57" spans="1:14" s="10" customFormat="1" x14ac:dyDescent="0.25">
      <c r="A57" s="19"/>
      <c r="B57" s="20"/>
      <c r="C57" s="20"/>
      <c r="D57" s="20"/>
      <c r="E57" s="27"/>
      <c r="F57" s="21"/>
      <c r="G57" s="22"/>
      <c r="H57" s="25"/>
      <c r="I57" s="33"/>
      <c r="J57" s="25"/>
      <c r="K57" s="31"/>
      <c r="M57" s="23"/>
      <c r="N57" s="11"/>
    </row>
    <row r="58" spans="1:14" s="10" customFormat="1" x14ac:dyDescent="0.25">
      <c r="A58" s="19"/>
      <c r="B58" s="20"/>
      <c r="C58" s="20"/>
      <c r="D58" s="20"/>
      <c r="E58" s="27"/>
      <c r="F58" s="21"/>
      <c r="G58" s="22"/>
      <c r="H58" s="25"/>
      <c r="I58" s="33"/>
      <c r="J58" s="25"/>
      <c r="K58" s="31"/>
      <c r="M58" s="23"/>
      <c r="N58" s="11"/>
    </row>
    <row r="59" spans="1:14" s="10" customFormat="1" x14ac:dyDescent="0.25">
      <c r="A59" s="19"/>
      <c r="B59" s="20"/>
      <c r="C59" s="20"/>
      <c r="D59" s="20"/>
      <c r="E59" s="27"/>
      <c r="F59" s="21"/>
      <c r="G59" s="22"/>
      <c r="H59" s="25"/>
      <c r="I59" s="33"/>
      <c r="J59" s="25"/>
      <c r="K59" s="31"/>
      <c r="M59" s="23"/>
      <c r="N59" s="11"/>
    </row>
    <row r="60" spans="1:14" s="10" customFormat="1" x14ac:dyDescent="0.25">
      <c r="A60" s="19"/>
      <c r="B60" s="20"/>
      <c r="C60" s="20"/>
      <c r="D60" s="20"/>
      <c r="E60" s="27"/>
      <c r="F60" s="21"/>
      <c r="G60" s="22"/>
      <c r="H60" s="25"/>
      <c r="I60" s="33"/>
      <c r="J60" s="25"/>
      <c r="K60" s="31"/>
      <c r="M60" s="23"/>
      <c r="N60" s="11"/>
    </row>
    <row r="61" spans="1:14" s="10" customFormat="1" x14ac:dyDescent="0.25">
      <c r="A61" s="19"/>
      <c r="B61" s="20"/>
      <c r="C61" s="20"/>
      <c r="D61" s="20"/>
      <c r="E61" s="27"/>
      <c r="F61" s="21"/>
      <c r="G61" s="22"/>
      <c r="H61" s="25"/>
      <c r="I61" s="33"/>
      <c r="J61" s="25"/>
      <c r="K61" s="31"/>
      <c r="M61" s="23"/>
      <c r="N61" s="11"/>
    </row>
    <row r="62" spans="1:14" s="10" customFormat="1" x14ac:dyDescent="0.25">
      <c r="A62" s="19"/>
      <c r="B62" s="20"/>
      <c r="C62" s="20"/>
      <c r="D62" s="20"/>
      <c r="E62" s="27"/>
      <c r="F62" s="21"/>
      <c r="G62" s="22"/>
      <c r="H62" s="25"/>
      <c r="I62" s="33"/>
      <c r="J62" s="25"/>
      <c r="K62" s="31"/>
      <c r="M62" s="23"/>
      <c r="N62" s="11"/>
    </row>
    <row r="63" spans="1:14" s="10" customFormat="1" x14ac:dyDescent="0.25">
      <c r="A63" s="19"/>
      <c r="B63" s="20"/>
      <c r="C63" s="20"/>
      <c r="D63" s="20"/>
      <c r="E63" s="27"/>
      <c r="F63" s="21"/>
      <c r="G63" s="22"/>
      <c r="H63" s="25"/>
      <c r="I63" s="33"/>
      <c r="J63" s="25"/>
      <c r="K63" s="31"/>
      <c r="M63" s="23"/>
      <c r="N63" s="11"/>
    </row>
    <row r="64" spans="1:14" s="10" customFormat="1" x14ac:dyDescent="0.25">
      <c r="A64" s="19"/>
      <c r="B64" s="20"/>
      <c r="C64" s="20"/>
      <c r="D64" s="20"/>
      <c r="E64" s="27"/>
      <c r="F64" s="21"/>
      <c r="G64" s="22"/>
      <c r="H64" s="25"/>
      <c r="I64" s="33"/>
      <c r="J64" s="25"/>
      <c r="K64" s="31"/>
      <c r="M64" s="23"/>
      <c r="N64" s="11"/>
    </row>
    <row r="65" spans="1:14" s="10" customFormat="1" x14ac:dyDescent="0.25">
      <c r="A65" s="19"/>
      <c r="B65" s="20"/>
      <c r="C65" s="20"/>
      <c r="D65" s="20"/>
      <c r="E65" s="27"/>
      <c r="F65" s="21"/>
      <c r="G65" s="22"/>
      <c r="H65" s="25"/>
      <c r="I65" s="33"/>
      <c r="J65" s="25"/>
      <c r="K65" s="31"/>
      <c r="M65" s="23"/>
      <c r="N65" s="11"/>
    </row>
    <row r="66" spans="1:14" s="10" customFormat="1" x14ac:dyDescent="0.25">
      <c r="A66" s="19"/>
      <c r="B66" s="20"/>
      <c r="C66" s="20"/>
      <c r="D66" s="20"/>
      <c r="E66" s="27"/>
      <c r="F66" s="21"/>
      <c r="G66" s="22"/>
      <c r="H66" s="25"/>
      <c r="I66" s="33"/>
      <c r="J66" s="25"/>
      <c r="K66" s="31"/>
      <c r="M66" s="23"/>
      <c r="N66" s="11"/>
    </row>
    <row r="67" spans="1:14" s="10" customFormat="1" x14ac:dyDescent="0.25">
      <c r="A67" s="19"/>
      <c r="B67" s="20"/>
      <c r="C67" s="20"/>
      <c r="D67" s="20"/>
      <c r="E67" s="27" t="s">
        <v>88</v>
      </c>
      <c r="F67" s="21"/>
      <c r="G67" s="22"/>
      <c r="H67" s="25"/>
      <c r="I67" s="33"/>
      <c r="J67" s="25"/>
      <c r="K67" s="31"/>
      <c r="M67" s="23"/>
      <c r="N67" s="11"/>
    </row>
    <row r="68" spans="1:14" s="10" customFormat="1" x14ac:dyDescent="0.25">
      <c r="A68" s="19"/>
      <c r="B68" s="20"/>
      <c r="C68" s="20"/>
      <c r="D68" s="20"/>
      <c r="E68" s="27"/>
      <c r="F68" s="21"/>
      <c r="G68" s="22"/>
      <c r="H68" s="25"/>
      <c r="I68" s="33"/>
      <c r="J68" s="25"/>
      <c r="K68" s="31"/>
      <c r="M68" s="23"/>
      <c r="N68" s="11"/>
    </row>
    <row r="69" spans="1:14" s="10" customFormat="1" x14ac:dyDescent="0.25">
      <c r="A69" s="19"/>
      <c r="B69" s="20"/>
      <c r="C69" s="20"/>
      <c r="D69" s="20"/>
      <c r="E69" s="27"/>
      <c r="F69" s="21"/>
      <c r="G69" s="22"/>
      <c r="H69" s="25"/>
      <c r="I69" s="33"/>
      <c r="J69" s="25"/>
      <c r="K69" s="31"/>
      <c r="M69" s="23"/>
      <c r="N69" s="11"/>
    </row>
    <row r="70" spans="1:14" s="10" customFormat="1" x14ac:dyDescent="0.25">
      <c r="A70" s="19"/>
      <c r="B70" s="20"/>
      <c r="C70" s="20"/>
      <c r="D70" s="20"/>
      <c r="E70" s="27"/>
      <c r="F70" s="21"/>
      <c r="G70" s="22"/>
      <c r="H70" s="25"/>
      <c r="I70" s="33"/>
      <c r="J70" s="25"/>
      <c r="K70" s="31"/>
      <c r="M70" s="23"/>
      <c r="N70" s="11"/>
    </row>
    <row r="71" spans="1:14" s="10" customFormat="1" x14ac:dyDescent="0.25">
      <c r="A71" s="19"/>
      <c r="B71" s="20"/>
      <c r="C71" s="20"/>
      <c r="D71" s="20"/>
      <c r="E71" s="27"/>
      <c r="F71" s="21"/>
      <c r="G71" s="22"/>
      <c r="H71" s="25"/>
      <c r="I71" s="33"/>
      <c r="J71" s="25"/>
      <c r="K71" s="31"/>
      <c r="M71" s="23"/>
      <c r="N71" s="11"/>
    </row>
    <row r="72" spans="1:14" s="10" customFormat="1" x14ac:dyDescent="0.25">
      <c r="A72" s="19"/>
      <c r="B72" s="20"/>
      <c r="C72" s="20"/>
      <c r="D72" s="20"/>
      <c r="E72" s="27"/>
      <c r="F72" s="21"/>
      <c r="G72" s="22"/>
      <c r="H72" s="25"/>
      <c r="I72" s="33"/>
      <c r="J72" s="25"/>
      <c r="K72" s="31"/>
      <c r="M72" s="23"/>
      <c r="N72" s="11"/>
    </row>
    <row r="73" spans="1:14" s="10" customFormat="1" x14ac:dyDescent="0.25">
      <c r="A73" s="19"/>
      <c r="B73" s="20"/>
      <c r="C73" s="20"/>
      <c r="D73" s="20"/>
      <c r="E73" s="27"/>
      <c r="F73" s="21"/>
      <c r="G73" s="22"/>
      <c r="H73" s="25"/>
      <c r="I73" s="33"/>
      <c r="J73" s="25"/>
      <c r="K73" s="31"/>
      <c r="M73" s="23"/>
      <c r="N73" s="11"/>
    </row>
    <row r="74" spans="1:14" s="10" customFormat="1" x14ac:dyDescent="0.25">
      <c r="A74" s="19"/>
      <c r="B74" s="20"/>
      <c r="C74" s="20"/>
      <c r="D74" s="20"/>
      <c r="E74" s="27"/>
      <c r="F74" s="21"/>
      <c r="G74" s="22"/>
      <c r="H74" s="25"/>
      <c r="I74" s="33"/>
      <c r="J74" s="25"/>
      <c r="K74" s="31"/>
      <c r="M74" s="23"/>
      <c r="N74" s="11"/>
    </row>
    <row r="75" spans="1:14" s="10" customFormat="1" x14ac:dyDescent="0.25">
      <c r="A75" s="19"/>
      <c r="B75" s="20"/>
      <c r="C75" s="20"/>
      <c r="D75" s="20"/>
      <c r="E75" s="27"/>
      <c r="F75" s="21"/>
      <c r="G75" s="22"/>
      <c r="H75" s="25"/>
      <c r="I75" s="33"/>
      <c r="J75" s="25"/>
      <c r="K75" s="31"/>
      <c r="M75" s="23"/>
      <c r="N75" s="11"/>
    </row>
    <row r="76" spans="1:14" s="10" customFormat="1" x14ac:dyDescent="0.25">
      <c r="A76" s="19"/>
      <c r="B76" s="20"/>
      <c r="C76" s="20"/>
      <c r="D76" s="20"/>
      <c r="E76" s="27"/>
      <c r="F76" s="21"/>
      <c r="G76" s="22"/>
      <c r="H76" s="25"/>
      <c r="I76" s="33"/>
      <c r="J76" s="25"/>
      <c r="K76" s="31"/>
      <c r="M76" s="23"/>
      <c r="N76" s="11"/>
    </row>
    <row r="77" spans="1:14" s="10" customFormat="1" x14ac:dyDescent="0.25">
      <c r="A77" s="19"/>
      <c r="B77" s="20"/>
      <c r="C77" s="20"/>
      <c r="D77" s="20"/>
      <c r="E77" s="27"/>
      <c r="F77" s="21"/>
      <c r="G77" s="22"/>
      <c r="H77" s="25"/>
      <c r="I77" s="33"/>
      <c r="J77" s="25"/>
      <c r="K77" s="31"/>
      <c r="M77" s="23"/>
      <c r="N77" s="11"/>
    </row>
    <row r="78" spans="1:14" s="10" customFormat="1" x14ac:dyDescent="0.25">
      <c r="A78" s="19"/>
      <c r="B78" s="20"/>
      <c r="C78" s="20"/>
      <c r="D78" s="20"/>
      <c r="E78" s="27"/>
      <c r="F78" s="21"/>
      <c r="G78" s="22"/>
      <c r="H78" s="25"/>
      <c r="I78" s="33"/>
      <c r="J78" s="25"/>
      <c r="K78" s="31"/>
      <c r="M78" s="23"/>
      <c r="N78" s="11"/>
    </row>
    <row r="79" spans="1:14" s="10" customFormat="1" x14ac:dyDescent="0.25">
      <c r="A79" s="19"/>
      <c r="B79" s="20"/>
      <c r="C79" s="20"/>
      <c r="D79" s="20"/>
      <c r="E79" s="27"/>
      <c r="F79" s="21"/>
      <c r="G79" s="22"/>
      <c r="H79" s="25"/>
      <c r="I79" s="33"/>
      <c r="J79" s="25"/>
      <c r="K79" s="31"/>
      <c r="M79" s="23"/>
      <c r="N79" s="11"/>
    </row>
    <row r="80" spans="1:14" s="10" customFormat="1" x14ac:dyDescent="0.25">
      <c r="A80" s="19"/>
      <c r="B80" s="20"/>
      <c r="C80" s="20"/>
      <c r="D80" s="20"/>
      <c r="E80" s="27"/>
      <c r="F80" s="21"/>
      <c r="G80" s="22"/>
      <c r="H80" s="25"/>
      <c r="I80" s="33"/>
      <c r="J80" s="25"/>
      <c r="K80" s="31"/>
      <c r="M80" s="23"/>
      <c r="N80" s="11"/>
    </row>
    <row r="81" spans="1:14" s="10" customFormat="1" x14ac:dyDescent="0.25">
      <c r="A81" s="19"/>
      <c r="B81" s="20"/>
      <c r="C81" s="20"/>
      <c r="D81" s="20"/>
      <c r="E81" s="27"/>
      <c r="F81" s="21"/>
      <c r="G81" s="22"/>
      <c r="H81" s="25"/>
      <c r="I81" s="33"/>
      <c r="J81" s="25"/>
      <c r="K81" s="31"/>
      <c r="M81" s="23"/>
      <c r="N81" s="11"/>
    </row>
    <row r="82" spans="1:14" s="10" customFormat="1" x14ac:dyDescent="0.25">
      <c r="A82" s="19"/>
      <c r="B82" s="20"/>
      <c r="C82" s="20"/>
      <c r="D82" s="20"/>
      <c r="E82" s="27"/>
      <c r="F82" s="21"/>
      <c r="G82" s="22"/>
      <c r="H82" s="25"/>
      <c r="I82" s="33"/>
      <c r="J82" s="25"/>
      <c r="K82" s="31"/>
      <c r="M82" s="23"/>
      <c r="N82" s="11"/>
    </row>
    <row r="83" spans="1:14" s="10" customFormat="1" x14ac:dyDescent="0.25">
      <c r="A83" s="19"/>
      <c r="B83" s="20"/>
      <c r="C83" s="20"/>
      <c r="D83" s="20"/>
      <c r="E83" s="27"/>
      <c r="F83" s="21"/>
      <c r="G83" s="22"/>
      <c r="H83" s="25"/>
      <c r="I83" s="33"/>
      <c r="J83" s="25"/>
      <c r="K83" s="31"/>
      <c r="M83" s="23"/>
      <c r="N83" s="11"/>
    </row>
    <row r="84" spans="1:14" s="10" customFormat="1" x14ac:dyDescent="0.25">
      <c r="A84" s="19"/>
      <c r="B84" s="20"/>
      <c r="C84" s="20"/>
      <c r="D84" s="20"/>
      <c r="E84" s="27"/>
      <c r="F84" s="21"/>
      <c r="G84" s="22"/>
      <c r="H84" s="25"/>
      <c r="I84" s="33"/>
      <c r="J84" s="25"/>
      <c r="K84" s="31"/>
      <c r="M84" s="23"/>
      <c r="N84" s="11"/>
    </row>
    <row r="85" spans="1:14" s="10" customFormat="1" x14ac:dyDescent="0.25">
      <c r="A85" s="19"/>
      <c r="B85" s="20"/>
      <c r="C85" s="20"/>
      <c r="D85" s="20"/>
      <c r="E85" s="27"/>
      <c r="F85" s="21"/>
      <c r="G85" s="22"/>
      <c r="H85" s="25"/>
      <c r="I85" s="33"/>
      <c r="J85" s="25"/>
      <c r="K85" s="31"/>
      <c r="M85" s="23"/>
      <c r="N85" s="11"/>
    </row>
    <row r="86" spans="1:14" s="10" customFormat="1" x14ac:dyDescent="0.25">
      <c r="A86" s="19"/>
      <c r="B86" s="20"/>
      <c r="C86" s="20"/>
      <c r="D86" s="20"/>
      <c r="E86" s="27"/>
      <c r="F86" s="21"/>
      <c r="G86" s="22"/>
      <c r="H86" s="25"/>
      <c r="I86" s="33"/>
      <c r="J86" s="25"/>
      <c r="K86" s="31"/>
      <c r="M86" s="23"/>
      <c r="N86" s="11"/>
    </row>
    <row r="87" spans="1:14" s="10" customFormat="1" x14ac:dyDescent="0.25">
      <c r="A87" s="19"/>
      <c r="B87" s="20"/>
      <c r="C87" s="20"/>
      <c r="D87" s="20"/>
      <c r="E87" s="27"/>
      <c r="F87" s="21"/>
      <c r="G87" s="22"/>
      <c r="H87" s="25"/>
      <c r="I87" s="33"/>
      <c r="J87" s="25"/>
      <c r="K87" s="31"/>
      <c r="M87" s="23"/>
      <c r="N87" s="11"/>
    </row>
    <row r="88" spans="1:14" s="10" customFormat="1" x14ac:dyDescent="0.25">
      <c r="A88" s="19"/>
      <c r="B88" s="20"/>
      <c r="C88" s="20"/>
      <c r="D88" s="20"/>
      <c r="E88" s="27"/>
      <c r="F88" s="21"/>
      <c r="G88" s="22"/>
      <c r="H88" s="25"/>
      <c r="I88" s="33"/>
      <c r="J88" s="25"/>
      <c r="K88" s="31"/>
      <c r="M88" s="23"/>
      <c r="N88" s="11"/>
    </row>
    <row r="89" spans="1:14" s="10" customFormat="1" x14ac:dyDescent="0.25">
      <c r="A89" s="19"/>
      <c r="B89" s="20"/>
      <c r="C89" s="20"/>
      <c r="D89" s="20"/>
      <c r="E89" s="27"/>
      <c r="F89" s="21"/>
      <c r="G89" s="22"/>
      <c r="H89" s="25"/>
      <c r="I89" s="33"/>
      <c r="J89" s="25"/>
      <c r="K89" s="31"/>
      <c r="M89" s="23"/>
      <c r="N89" s="11"/>
    </row>
    <row r="90" spans="1:14" s="10" customFormat="1" x14ac:dyDescent="0.25">
      <c r="A90" s="19"/>
      <c r="B90" s="20"/>
      <c r="C90" s="20"/>
      <c r="D90" s="20"/>
      <c r="E90" s="27"/>
      <c r="F90" s="21"/>
      <c r="G90" s="22"/>
      <c r="H90" s="25"/>
      <c r="I90" s="33"/>
      <c r="J90" s="25"/>
      <c r="K90" s="31"/>
      <c r="M90" s="23"/>
      <c r="N90" s="11"/>
    </row>
    <row r="91" spans="1:14" s="10" customFormat="1" x14ac:dyDescent="0.25">
      <c r="A91" s="19"/>
      <c r="B91" s="20"/>
      <c r="C91" s="20"/>
      <c r="D91" s="20"/>
      <c r="E91" s="27"/>
      <c r="F91" s="21"/>
      <c r="G91" s="22"/>
      <c r="H91" s="25"/>
      <c r="I91" s="33"/>
      <c r="J91" s="25"/>
      <c r="K91" s="31"/>
      <c r="M91" s="23"/>
      <c r="N91" s="11"/>
    </row>
    <row r="92" spans="1:14" s="10" customFormat="1" x14ac:dyDescent="0.25">
      <c r="A92" s="19"/>
      <c r="B92" s="20"/>
      <c r="C92" s="20"/>
      <c r="D92" s="20"/>
      <c r="E92" s="27"/>
      <c r="F92" s="21"/>
      <c r="G92" s="22"/>
      <c r="H92" s="25"/>
      <c r="I92" s="33"/>
      <c r="J92" s="25"/>
      <c r="K92" s="31"/>
      <c r="M92" s="23"/>
      <c r="N92" s="11"/>
    </row>
    <row r="93" spans="1:14" s="10" customFormat="1" x14ac:dyDescent="0.25">
      <c r="A93" s="19"/>
      <c r="B93" s="20"/>
      <c r="C93" s="20"/>
      <c r="D93" s="20"/>
      <c r="E93" s="27"/>
      <c r="F93" s="21"/>
      <c r="G93" s="22"/>
      <c r="H93" s="25"/>
      <c r="I93" s="33"/>
      <c r="J93" s="25"/>
      <c r="K93" s="31"/>
      <c r="M93" s="23"/>
      <c r="N93" s="11"/>
    </row>
    <row r="94" spans="1:14" s="10" customFormat="1" x14ac:dyDescent="0.25">
      <c r="A94" s="19"/>
      <c r="B94" s="20"/>
      <c r="C94" s="20"/>
      <c r="D94" s="20"/>
      <c r="E94" s="27"/>
      <c r="F94" s="21"/>
      <c r="G94" s="22"/>
      <c r="H94" s="25"/>
      <c r="I94" s="33"/>
      <c r="J94" s="25"/>
      <c r="K94" s="31"/>
      <c r="M94" s="23"/>
      <c r="N94" s="11"/>
    </row>
    <row r="95" spans="1:14" s="10" customFormat="1" x14ac:dyDescent="0.25">
      <c r="A95" s="19"/>
      <c r="B95" s="20"/>
      <c r="C95" s="20"/>
      <c r="D95" s="20"/>
      <c r="E95" s="27"/>
      <c r="F95" s="21"/>
      <c r="G95" s="22"/>
      <c r="H95" s="25"/>
      <c r="I95" s="33"/>
      <c r="J95" s="25"/>
      <c r="K95" s="31"/>
      <c r="M95" s="23"/>
      <c r="N95" s="11"/>
    </row>
    <row r="96" spans="1:14" s="10" customFormat="1" x14ac:dyDescent="0.25">
      <c r="A96" s="19"/>
      <c r="B96" s="20"/>
      <c r="C96" s="20"/>
      <c r="D96" s="20"/>
      <c r="E96" s="27"/>
      <c r="F96" s="21"/>
      <c r="G96" s="22"/>
      <c r="H96" s="25"/>
      <c r="I96" s="33"/>
      <c r="J96" s="25"/>
      <c r="K96" s="31"/>
      <c r="M96" s="23"/>
      <c r="N96" s="11"/>
    </row>
    <row r="97" spans="1:14" s="10" customFormat="1" x14ac:dyDescent="0.25">
      <c r="A97" s="19"/>
      <c r="B97" s="20"/>
      <c r="C97" s="20"/>
      <c r="D97" s="20"/>
      <c r="E97" s="27"/>
      <c r="F97" s="21"/>
      <c r="G97" s="22"/>
      <c r="H97" s="25"/>
      <c r="I97" s="33"/>
      <c r="J97" s="25"/>
      <c r="K97" s="31"/>
      <c r="M97" s="23"/>
      <c r="N97" s="11"/>
    </row>
    <row r="98" spans="1:14" s="10" customFormat="1" x14ac:dyDescent="0.25">
      <c r="A98" s="19"/>
      <c r="B98" s="20"/>
      <c r="C98" s="20"/>
      <c r="D98" s="20"/>
      <c r="E98" s="27"/>
      <c r="F98" s="21"/>
      <c r="G98" s="22"/>
      <c r="H98" s="25"/>
      <c r="I98" s="33"/>
      <c r="J98" s="25"/>
      <c r="K98" s="31"/>
      <c r="M98" s="23"/>
      <c r="N98" s="11"/>
    </row>
    <row r="99" spans="1:14" s="10" customFormat="1" x14ac:dyDescent="0.25">
      <c r="A99" s="19"/>
      <c r="B99" s="20"/>
      <c r="C99" s="20"/>
      <c r="D99" s="20"/>
      <c r="E99" s="27"/>
      <c r="F99" s="21"/>
      <c r="G99" s="22"/>
      <c r="H99" s="25"/>
      <c r="I99" s="33"/>
      <c r="J99" s="25"/>
      <c r="K99" s="31"/>
      <c r="M99" s="23"/>
      <c r="N99" s="11"/>
    </row>
    <row r="100" spans="1:14" s="10" customFormat="1" x14ac:dyDescent="0.25">
      <c r="A100" s="19"/>
      <c r="B100" s="20"/>
      <c r="C100" s="20"/>
      <c r="D100" s="20"/>
      <c r="E100" s="27"/>
      <c r="F100" s="21"/>
      <c r="G100" s="22"/>
      <c r="H100" s="25"/>
      <c r="I100" s="33"/>
      <c r="J100" s="25"/>
      <c r="K100" s="31"/>
      <c r="M100" s="23"/>
      <c r="N100" s="11"/>
    </row>
    <row r="101" spans="1:14" s="10" customFormat="1" x14ac:dyDescent="0.25">
      <c r="A101" s="19"/>
      <c r="B101" s="20"/>
      <c r="C101" s="20"/>
      <c r="D101" s="20"/>
      <c r="E101" s="27"/>
      <c r="F101" s="21"/>
      <c r="G101" s="22"/>
      <c r="H101" s="25"/>
      <c r="I101" s="33"/>
      <c r="J101" s="25"/>
      <c r="K101" s="31"/>
      <c r="M101" s="23"/>
      <c r="N101" s="11"/>
    </row>
    <row r="102" spans="1:14" s="10" customFormat="1" x14ac:dyDescent="0.25">
      <c r="A102" s="19"/>
      <c r="B102" s="20"/>
      <c r="C102" s="20"/>
      <c r="D102" s="20"/>
      <c r="E102" s="27"/>
      <c r="F102" s="21"/>
      <c r="G102" s="22"/>
      <c r="H102" s="25"/>
      <c r="I102" s="33"/>
      <c r="J102" s="25"/>
      <c r="K102" s="31"/>
      <c r="M102" s="23"/>
      <c r="N102" s="11"/>
    </row>
    <row r="103" spans="1:14" s="10" customFormat="1" x14ac:dyDescent="0.25">
      <c r="A103" s="19"/>
      <c r="B103" s="20"/>
      <c r="C103" s="20"/>
      <c r="D103" s="20"/>
      <c r="E103" s="27"/>
      <c r="F103" s="21"/>
      <c r="G103" s="22"/>
      <c r="H103" s="25"/>
      <c r="I103" s="33"/>
      <c r="J103" s="25"/>
      <c r="K103" s="31"/>
      <c r="M103" s="23"/>
      <c r="N103" s="11"/>
    </row>
    <row r="104" spans="1:14" s="10" customFormat="1" x14ac:dyDescent="0.25">
      <c r="A104" s="19"/>
      <c r="B104" s="20"/>
      <c r="C104" s="20"/>
      <c r="D104" s="20"/>
      <c r="E104" s="27"/>
      <c r="F104" s="21"/>
      <c r="G104" s="22"/>
      <c r="H104" s="25"/>
      <c r="I104" s="33"/>
      <c r="J104" s="25"/>
      <c r="K104" s="31"/>
      <c r="M104" s="23"/>
      <c r="N104" s="11"/>
    </row>
    <row r="105" spans="1:14" s="10" customFormat="1" x14ac:dyDescent="0.25">
      <c r="A105" s="19"/>
      <c r="B105" s="20"/>
      <c r="C105" s="20"/>
      <c r="D105" s="20"/>
      <c r="E105" s="27"/>
      <c r="F105" s="21"/>
      <c r="G105" s="22"/>
      <c r="H105" s="25"/>
      <c r="I105" s="33"/>
      <c r="J105" s="25"/>
      <c r="K105" s="31"/>
      <c r="M105" s="23"/>
      <c r="N105" s="11"/>
    </row>
    <row r="106" spans="1:14" s="10" customFormat="1" x14ac:dyDescent="0.25">
      <c r="A106" s="19"/>
      <c r="B106" s="20"/>
      <c r="C106" s="20"/>
      <c r="D106" s="20"/>
      <c r="E106" s="27"/>
      <c r="F106" s="21"/>
      <c r="G106" s="22"/>
      <c r="H106" s="25"/>
      <c r="I106" s="33"/>
      <c r="J106" s="25"/>
      <c r="K106" s="31"/>
      <c r="M106" s="23"/>
      <c r="N106" s="11"/>
    </row>
    <row r="107" spans="1:14" s="10" customFormat="1" x14ac:dyDescent="0.25">
      <c r="A107" s="19"/>
      <c r="B107" s="20"/>
      <c r="C107" s="20"/>
      <c r="D107" s="20"/>
      <c r="E107" s="27"/>
      <c r="F107" s="21"/>
      <c r="G107" s="22"/>
      <c r="H107" s="25"/>
      <c r="I107" s="33"/>
      <c r="J107" s="25"/>
      <c r="K107" s="31"/>
      <c r="M107" s="23"/>
      <c r="N107" s="11"/>
    </row>
    <row r="108" spans="1:14" s="10" customFormat="1" x14ac:dyDescent="0.25">
      <c r="A108" s="19"/>
      <c r="B108" s="20"/>
      <c r="C108" s="20"/>
      <c r="D108" s="20"/>
      <c r="E108" s="27"/>
      <c r="F108" s="21"/>
      <c r="G108" s="22"/>
      <c r="H108" s="25"/>
      <c r="I108" s="33"/>
      <c r="J108" s="25"/>
      <c r="K108" s="31"/>
      <c r="M108" s="23"/>
      <c r="N108" s="11"/>
    </row>
    <row r="109" spans="1:14" s="10" customFormat="1" x14ac:dyDescent="0.25">
      <c r="A109" s="19"/>
      <c r="B109" s="20"/>
      <c r="C109" s="20"/>
      <c r="D109" s="20"/>
      <c r="E109" s="27"/>
      <c r="F109" s="21"/>
      <c r="G109" s="22"/>
      <c r="H109" s="25"/>
      <c r="I109" s="33"/>
      <c r="J109" s="25"/>
      <c r="K109" s="31"/>
      <c r="M109" s="23"/>
      <c r="N109" s="11"/>
    </row>
    <row r="110" spans="1:14" s="10" customFormat="1" x14ac:dyDescent="0.25">
      <c r="A110" s="19"/>
      <c r="B110" s="20"/>
      <c r="C110" s="20"/>
      <c r="D110" s="20"/>
      <c r="E110" s="27"/>
      <c r="F110" s="21"/>
      <c r="G110" s="22"/>
      <c r="H110" s="25"/>
      <c r="I110" s="33"/>
      <c r="J110" s="25"/>
      <c r="K110" s="31"/>
      <c r="M110" s="23"/>
      <c r="N110" s="11"/>
    </row>
    <row r="111" spans="1:14" s="10" customFormat="1" x14ac:dyDescent="0.25">
      <c r="A111" s="19"/>
      <c r="B111" s="20"/>
      <c r="C111" s="20"/>
      <c r="D111" s="20"/>
      <c r="E111" s="27"/>
      <c r="F111" s="21"/>
      <c r="G111" s="22"/>
      <c r="H111" s="25"/>
      <c r="I111" s="33"/>
      <c r="J111" s="25"/>
      <c r="K111" s="31"/>
      <c r="M111" s="23"/>
      <c r="N111" s="11"/>
    </row>
    <row r="112" spans="1:14" s="10" customFormat="1" x14ac:dyDescent="0.25">
      <c r="A112" s="19"/>
      <c r="B112" s="20"/>
      <c r="C112" s="20"/>
      <c r="D112" s="20"/>
      <c r="E112" s="27"/>
      <c r="F112" s="21"/>
      <c r="G112" s="22"/>
      <c r="H112" s="25"/>
      <c r="I112" s="33"/>
      <c r="J112" s="25"/>
      <c r="K112" s="31"/>
      <c r="M112" s="23"/>
      <c r="N112" s="11"/>
    </row>
    <row r="113" spans="1:14" s="10" customFormat="1" x14ac:dyDescent="0.25">
      <c r="A113" s="19"/>
      <c r="B113" s="20"/>
      <c r="C113" s="20"/>
      <c r="D113" s="20"/>
      <c r="E113" s="27"/>
      <c r="F113" s="21"/>
      <c r="G113" s="22"/>
      <c r="H113" s="25"/>
      <c r="I113" s="33"/>
      <c r="J113" s="25"/>
      <c r="K113" s="31"/>
      <c r="M113" s="23"/>
      <c r="N113" s="11"/>
    </row>
    <row r="114" spans="1:14" s="10" customFormat="1" x14ac:dyDescent="0.25">
      <c r="A114" s="19"/>
      <c r="B114" s="20"/>
      <c r="C114" s="20"/>
      <c r="D114" s="20"/>
      <c r="E114" s="27"/>
      <c r="F114" s="21"/>
      <c r="G114" s="22"/>
      <c r="H114" s="25"/>
      <c r="I114" s="33"/>
      <c r="J114" s="25"/>
      <c r="K114" s="31"/>
      <c r="M114" s="23"/>
      <c r="N114" s="11"/>
    </row>
    <row r="115" spans="1:14" s="10" customFormat="1" x14ac:dyDescent="0.25">
      <c r="A115" s="19"/>
      <c r="B115" s="20"/>
      <c r="C115" s="20"/>
      <c r="D115" s="20"/>
      <c r="E115" s="27"/>
      <c r="F115" s="21"/>
      <c r="G115" s="22"/>
      <c r="H115" s="25"/>
      <c r="I115" s="33"/>
      <c r="J115" s="25"/>
      <c r="K115" s="31"/>
      <c r="M115" s="23"/>
      <c r="N115" s="11"/>
    </row>
    <row r="116" spans="1:14" s="10" customFormat="1" x14ac:dyDescent="0.25">
      <c r="A116" s="19"/>
      <c r="B116" s="20"/>
      <c r="C116" s="20"/>
      <c r="D116" s="20"/>
      <c r="E116" s="27"/>
      <c r="F116" s="21"/>
      <c r="G116" s="22"/>
      <c r="H116" s="25"/>
      <c r="I116" s="33"/>
      <c r="J116" s="25"/>
      <c r="K116" s="31"/>
      <c r="M116" s="23"/>
      <c r="N116" s="11"/>
    </row>
    <row r="117" spans="1:14" s="10" customFormat="1" x14ac:dyDescent="0.25">
      <c r="A117" s="19"/>
      <c r="B117" s="20"/>
      <c r="C117" s="20"/>
      <c r="D117" s="20"/>
      <c r="E117" s="27"/>
      <c r="F117" s="21"/>
      <c r="G117" s="22"/>
      <c r="H117" s="25"/>
      <c r="I117" s="33"/>
      <c r="J117" s="25"/>
      <c r="K117" s="31"/>
      <c r="M117" s="23"/>
      <c r="N117" s="11"/>
    </row>
    <row r="118" spans="1:14" s="10" customFormat="1" x14ac:dyDescent="0.25">
      <c r="A118" s="19"/>
      <c r="B118" s="20"/>
      <c r="C118" s="20"/>
      <c r="D118" s="20"/>
      <c r="E118" s="27"/>
      <c r="F118" s="21"/>
      <c r="G118" s="22"/>
      <c r="H118" s="25"/>
      <c r="I118" s="33"/>
      <c r="J118" s="25"/>
      <c r="K118" s="31"/>
      <c r="M118" s="23"/>
      <c r="N118" s="11"/>
    </row>
    <row r="119" spans="1:14" s="10" customFormat="1" x14ac:dyDescent="0.25">
      <c r="A119" s="19"/>
      <c r="B119" s="20"/>
      <c r="C119" s="20"/>
      <c r="D119" s="20"/>
      <c r="E119" s="27"/>
      <c r="F119" s="21"/>
      <c r="G119" s="22"/>
      <c r="H119" s="25"/>
      <c r="I119" s="33"/>
      <c r="J119" s="25"/>
      <c r="K119" s="31"/>
      <c r="M119" s="23"/>
      <c r="N119" s="11"/>
    </row>
    <row r="120" spans="1:14" s="10" customFormat="1" x14ac:dyDescent="0.25">
      <c r="A120" s="19"/>
      <c r="B120" s="20"/>
      <c r="C120" s="20"/>
      <c r="D120" s="20"/>
      <c r="E120" s="27"/>
      <c r="F120" s="21"/>
      <c r="G120" s="22"/>
      <c r="H120" s="25"/>
      <c r="I120" s="33"/>
      <c r="J120" s="25"/>
      <c r="K120" s="31"/>
      <c r="M120" s="23"/>
      <c r="N120" s="11"/>
    </row>
    <row r="121" spans="1:14" s="10" customFormat="1" x14ac:dyDescent="0.25">
      <c r="A121" s="19"/>
      <c r="B121" s="20"/>
      <c r="C121" s="20"/>
      <c r="D121" s="20"/>
      <c r="E121" s="27"/>
      <c r="F121" s="21"/>
      <c r="G121" s="22"/>
      <c r="H121" s="25"/>
      <c r="I121" s="33"/>
      <c r="J121" s="25"/>
      <c r="K121" s="31"/>
      <c r="M121" s="23"/>
      <c r="N121" s="11"/>
    </row>
    <row r="122" spans="1:14" s="10" customFormat="1" x14ac:dyDescent="0.25">
      <c r="A122" s="19"/>
      <c r="B122" s="20"/>
      <c r="C122" s="20"/>
      <c r="D122" s="20"/>
      <c r="E122" s="27"/>
      <c r="F122" s="21"/>
      <c r="G122" s="22"/>
      <c r="H122" s="25"/>
      <c r="I122" s="33"/>
      <c r="J122" s="25"/>
      <c r="K122" s="31"/>
      <c r="M122" s="23"/>
      <c r="N122" s="11"/>
    </row>
    <row r="123" spans="1:14" s="10" customFormat="1" x14ac:dyDescent="0.25">
      <c r="A123" s="19"/>
      <c r="B123" s="20"/>
      <c r="C123" s="20"/>
      <c r="D123" s="20"/>
      <c r="E123" s="27"/>
      <c r="F123" s="21"/>
      <c r="G123" s="22"/>
      <c r="H123" s="25"/>
      <c r="I123" s="33"/>
      <c r="J123" s="25"/>
      <c r="K123" s="31"/>
      <c r="M123" s="23"/>
      <c r="N123" s="11"/>
    </row>
    <row r="124" spans="1:14" s="10" customFormat="1" x14ac:dyDescent="0.25">
      <c r="A124" s="19"/>
      <c r="B124" s="20"/>
      <c r="C124" s="20"/>
      <c r="D124" s="20"/>
      <c r="E124" s="27"/>
      <c r="F124" s="21"/>
      <c r="G124" s="22"/>
      <c r="H124" s="25"/>
      <c r="I124" s="33"/>
      <c r="J124" s="25"/>
      <c r="K124" s="31"/>
      <c r="M124" s="23"/>
      <c r="N124" s="11"/>
    </row>
    <row r="125" spans="1:14" s="10" customFormat="1" x14ac:dyDescent="0.25">
      <c r="A125" s="19"/>
      <c r="B125" s="20"/>
      <c r="C125" s="20"/>
      <c r="D125" s="20"/>
      <c r="E125" s="27"/>
      <c r="F125" s="21"/>
      <c r="G125" s="22"/>
      <c r="H125" s="25"/>
      <c r="I125" s="33"/>
      <c r="J125" s="25"/>
      <c r="K125" s="31"/>
      <c r="M125" s="23"/>
      <c r="N125" s="11"/>
    </row>
    <row r="126" spans="1:14" s="10" customFormat="1" x14ac:dyDescent="0.25">
      <c r="A126" s="19"/>
      <c r="B126" s="20"/>
      <c r="C126" s="20"/>
      <c r="D126" s="20"/>
      <c r="E126" s="27"/>
      <c r="F126" s="21"/>
      <c r="G126" s="22"/>
      <c r="H126" s="25"/>
      <c r="I126" s="33"/>
      <c r="J126" s="25"/>
      <c r="K126" s="31"/>
      <c r="M126" s="23"/>
      <c r="N126" s="11"/>
    </row>
    <row r="127" spans="1:14" s="10" customFormat="1" x14ac:dyDescent="0.25">
      <c r="A127" s="19"/>
      <c r="B127" s="20"/>
      <c r="C127" s="20"/>
      <c r="D127" s="20"/>
      <c r="E127" s="27"/>
      <c r="F127" s="21"/>
      <c r="G127" s="22"/>
      <c r="H127" s="25"/>
      <c r="I127" s="33"/>
      <c r="J127" s="25"/>
      <c r="K127" s="31"/>
      <c r="M127" s="23"/>
      <c r="N127" s="11"/>
    </row>
    <row r="128" spans="1:14" s="10" customFormat="1" x14ac:dyDescent="0.25">
      <c r="A128" s="19"/>
      <c r="B128" s="20"/>
      <c r="C128" s="20"/>
      <c r="D128" s="20"/>
      <c r="E128" s="27"/>
      <c r="F128" s="21"/>
      <c r="G128" s="22"/>
      <c r="H128" s="25"/>
      <c r="I128" s="33"/>
      <c r="J128" s="25"/>
      <c r="K128" s="31"/>
      <c r="M128" s="23"/>
      <c r="N128" s="11"/>
    </row>
    <row r="129" spans="1:14" s="10" customFormat="1" x14ac:dyDescent="0.25">
      <c r="A129" s="19"/>
      <c r="B129" s="20"/>
      <c r="C129" s="20"/>
      <c r="D129" s="20"/>
      <c r="E129" s="27"/>
      <c r="F129" s="21"/>
      <c r="G129" s="22"/>
      <c r="H129" s="25"/>
      <c r="I129" s="33"/>
      <c r="J129" s="25"/>
      <c r="K129" s="31"/>
      <c r="M129" s="23"/>
      <c r="N129" s="11"/>
    </row>
    <row r="130" spans="1:14" s="10" customFormat="1" x14ac:dyDescent="0.25">
      <c r="A130" s="19"/>
      <c r="B130" s="20"/>
      <c r="C130" s="20"/>
      <c r="D130" s="20"/>
      <c r="E130" s="27"/>
      <c r="F130" s="21"/>
      <c r="G130" s="22"/>
      <c r="H130" s="25"/>
      <c r="I130" s="33"/>
      <c r="J130" s="25"/>
      <c r="K130" s="31"/>
      <c r="M130" s="23"/>
      <c r="N130" s="11"/>
    </row>
    <row r="131" spans="1:14" s="10" customFormat="1" x14ac:dyDescent="0.25">
      <c r="A131" s="19"/>
      <c r="B131" s="20"/>
      <c r="C131" s="20"/>
      <c r="D131" s="20"/>
      <c r="E131" s="27"/>
      <c r="F131" s="21"/>
      <c r="G131" s="22"/>
      <c r="H131" s="25"/>
      <c r="I131" s="33"/>
      <c r="J131" s="25"/>
      <c r="K131" s="31"/>
      <c r="M131" s="23"/>
      <c r="N131" s="11"/>
    </row>
    <row r="132" spans="1:14" s="10" customFormat="1" x14ac:dyDescent="0.25">
      <c r="A132" s="19"/>
      <c r="B132" s="20"/>
      <c r="C132" s="20"/>
      <c r="D132" s="20"/>
      <c r="E132" s="27"/>
      <c r="F132" s="21"/>
      <c r="G132" s="22"/>
      <c r="H132" s="25"/>
      <c r="I132" s="33"/>
      <c r="J132" s="25"/>
      <c r="K132" s="31"/>
      <c r="M132" s="23"/>
      <c r="N132" s="11"/>
    </row>
    <row r="133" spans="1:14" s="10" customFormat="1" x14ac:dyDescent="0.25">
      <c r="A133" s="19"/>
      <c r="B133" s="20"/>
      <c r="C133" s="20"/>
      <c r="D133" s="20"/>
      <c r="E133" s="27"/>
      <c r="F133" s="21"/>
      <c r="G133" s="22"/>
      <c r="H133" s="25"/>
      <c r="I133" s="33"/>
      <c r="J133" s="25"/>
      <c r="K133" s="31"/>
      <c r="M133" s="23"/>
      <c r="N133" s="11"/>
    </row>
    <row r="134" spans="1:14" s="10" customFormat="1" x14ac:dyDescent="0.25">
      <c r="A134" s="19"/>
      <c r="B134" s="20"/>
      <c r="C134" s="20"/>
      <c r="D134" s="20"/>
      <c r="E134" s="27"/>
      <c r="F134" s="21"/>
      <c r="G134" s="22"/>
      <c r="H134" s="25"/>
      <c r="I134" s="33"/>
      <c r="J134" s="25"/>
      <c r="K134" s="31"/>
      <c r="M134" s="23"/>
      <c r="N134" s="11"/>
    </row>
    <row r="135" spans="1:14" s="10" customFormat="1" x14ac:dyDescent="0.25">
      <c r="A135" s="19"/>
      <c r="B135" s="20"/>
      <c r="C135" s="20"/>
      <c r="D135" s="20"/>
      <c r="E135" s="27"/>
      <c r="F135" s="21"/>
      <c r="G135" s="22"/>
      <c r="H135" s="25"/>
      <c r="I135" s="33"/>
      <c r="J135" s="25"/>
      <c r="K135" s="31"/>
      <c r="M135" s="23"/>
      <c r="N135" s="11"/>
    </row>
    <row r="136" spans="1:14" s="10" customFormat="1" x14ac:dyDescent="0.25">
      <c r="A136" s="19"/>
      <c r="B136" s="20"/>
      <c r="C136" s="20"/>
      <c r="D136" s="20"/>
      <c r="E136" s="27"/>
      <c r="F136" s="21"/>
      <c r="G136" s="22"/>
      <c r="H136" s="25"/>
      <c r="I136" s="33"/>
      <c r="J136" s="25"/>
      <c r="K136" s="31"/>
      <c r="M136" s="23"/>
      <c r="N136" s="11"/>
    </row>
    <row r="137" spans="1:14" s="10" customFormat="1" x14ac:dyDescent="0.25">
      <c r="A137" s="19"/>
      <c r="B137" s="20"/>
      <c r="C137" s="20"/>
      <c r="D137" s="20"/>
      <c r="E137" s="27"/>
      <c r="F137" s="21"/>
      <c r="G137" s="22"/>
      <c r="H137" s="25"/>
      <c r="I137" s="33"/>
      <c r="J137" s="25"/>
      <c r="K137" s="31"/>
      <c r="M137" s="23"/>
      <c r="N137" s="11"/>
    </row>
    <row r="138" spans="1:14" s="10" customFormat="1" x14ac:dyDescent="0.25">
      <c r="A138" s="19"/>
      <c r="B138" s="20"/>
      <c r="C138" s="20"/>
      <c r="D138" s="20"/>
      <c r="E138" s="27"/>
      <c r="F138" s="21"/>
      <c r="G138" s="22"/>
      <c r="H138" s="25"/>
      <c r="I138" s="33"/>
      <c r="J138" s="25"/>
      <c r="K138" s="31"/>
      <c r="M138" s="23"/>
      <c r="N138" s="11"/>
    </row>
    <row r="139" spans="1:14" s="10" customFormat="1" x14ac:dyDescent="0.25">
      <c r="A139" s="19"/>
      <c r="B139" s="20"/>
      <c r="C139" s="20"/>
      <c r="D139" s="20"/>
      <c r="E139" s="27"/>
      <c r="F139" s="21"/>
      <c r="G139" s="22"/>
      <c r="H139" s="25"/>
      <c r="I139" s="33"/>
      <c r="J139" s="25"/>
      <c r="K139" s="31"/>
      <c r="M139" s="23"/>
      <c r="N139" s="11"/>
    </row>
    <row r="140" spans="1:14" s="10" customFormat="1" x14ac:dyDescent="0.25">
      <c r="A140" s="19"/>
      <c r="B140" s="20"/>
      <c r="C140" s="20"/>
      <c r="D140" s="20"/>
      <c r="E140" s="27"/>
      <c r="F140" s="21"/>
      <c r="G140" s="22"/>
      <c r="H140" s="25"/>
      <c r="I140" s="33"/>
      <c r="J140" s="25"/>
      <c r="K140" s="31"/>
      <c r="M140" s="23"/>
      <c r="N140" s="11"/>
    </row>
    <row r="141" spans="1:14" s="10" customFormat="1" x14ac:dyDescent="0.25">
      <c r="A141" s="19"/>
      <c r="B141" s="20"/>
      <c r="C141" s="20"/>
      <c r="D141" s="20"/>
      <c r="E141" s="27"/>
      <c r="F141" s="21"/>
      <c r="G141" s="22"/>
      <c r="H141" s="25"/>
      <c r="I141" s="33"/>
      <c r="J141" s="25"/>
      <c r="K141" s="31"/>
      <c r="M141" s="23"/>
      <c r="N141" s="11"/>
    </row>
    <row r="142" spans="1:14" s="10" customFormat="1" x14ac:dyDescent="0.25">
      <c r="A142" s="19"/>
      <c r="B142" s="20"/>
      <c r="C142" s="20"/>
      <c r="D142" s="20"/>
      <c r="E142" s="27"/>
      <c r="F142" s="21"/>
      <c r="G142" s="22"/>
      <c r="H142" s="25"/>
      <c r="I142" s="33"/>
      <c r="J142" s="25"/>
      <c r="K142" s="31"/>
      <c r="M142" s="23"/>
      <c r="N142" s="11"/>
    </row>
    <row r="143" spans="1:14" s="10" customFormat="1" x14ac:dyDescent="0.25">
      <c r="A143" s="19"/>
      <c r="B143" s="20"/>
      <c r="C143" s="20"/>
      <c r="D143" s="20"/>
      <c r="E143" s="27"/>
      <c r="F143" s="21"/>
      <c r="G143" s="22"/>
      <c r="H143" s="25"/>
      <c r="I143" s="33"/>
      <c r="J143" s="25"/>
      <c r="K143" s="31"/>
      <c r="M143" s="23"/>
      <c r="N143" s="11"/>
    </row>
    <row r="144" spans="1:14" s="10" customFormat="1" x14ac:dyDescent="0.25">
      <c r="A144" s="19"/>
      <c r="B144" s="20"/>
      <c r="C144" s="20"/>
      <c r="D144" s="20"/>
      <c r="E144" s="27"/>
      <c r="F144" s="21"/>
      <c r="G144" s="22"/>
      <c r="H144" s="25"/>
      <c r="I144" s="33"/>
      <c r="J144" s="25"/>
      <c r="K144" s="31"/>
      <c r="M144" s="23"/>
      <c r="N144" s="11"/>
    </row>
    <row r="145" spans="1:14" s="10" customFormat="1" x14ac:dyDescent="0.25">
      <c r="A145" s="19"/>
      <c r="B145" s="20"/>
      <c r="C145" s="20"/>
      <c r="D145" s="20"/>
      <c r="E145" s="27"/>
      <c r="F145" s="21"/>
      <c r="G145" s="22"/>
      <c r="H145" s="25"/>
      <c r="I145" s="33"/>
      <c r="J145" s="25"/>
      <c r="K145" s="31"/>
      <c r="M145" s="23"/>
      <c r="N145" s="11"/>
    </row>
    <row r="146" spans="1:14" s="10" customFormat="1" x14ac:dyDescent="0.25">
      <c r="A146" s="19"/>
      <c r="B146" s="20"/>
      <c r="C146" s="20"/>
      <c r="D146" s="20"/>
      <c r="E146" s="27"/>
      <c r="F146" s="21"/>
      <c r="G146" s="22"/>
      <c r="H146" s="25"/>
      <c r="I146" s="33"/>
      <c r="J146" s="25"/>
      <c r="K146" s="31"/>
      <c r="M146" s="23"/>
      <c r="N146" s="11"/>
    </row>
    <row r="147" spans="1:14" s="10" customFormat="1" x14ac:dyDescent="0.25">
      <c r="A147" s="19"/>
      <c r="B147" s="20"/>
      <c r="C147" s="20"/>
      <c r="D147" s="20"/>
      <c r="E147" s="27"/>
      <c r="F147" s="21"/>
      <c r="G147" s="22"/>
      <c r="H147" s="25"/>
      <c r="I147" s="33"/>
      <c r="J147" s="25"/>
      <c r="K147" s="31"/>
      <c r="M147" s="23"/>
      <c r="N147" s="11"/>
    </row>
    <row r="148" spans="1:14" s="10" customFormat="1" x14ac:dyDescent="0.25">
      <c r="A148" s="19"/>
      <c r="B148" s="20"/>
      <c r="C148" s="20"/>
      <c r="D148" s="20"/>
      <c r="E148" s="27"/>
      <c r="F148" s="21"/>
      <c r="G148" s="22"/>
      <c r="H148" s="25"/>
      <c r="I148" s="33"/>
      <c r="J148" s="25"/>
      <c r="K148" s="31"/>
      <c r="M148" s="23"/>
      <c r="N148" s="11"/>
    </row>
    <row r="149" spans="1:14" s="10" customFormat="1" x14ac:dyDescent="0.25">
      <c r="A149" s="19"/>
      <c r="B149" s="20"/>
      <c r="C149" s="20"/>
      <c r="D149" s="20"/>
      <c r="E149" s="27"/>
      <c r="F149" s="21"/>
      <c r="G149" s="22"/>
      <c r="H149" s="25"/>
      <c r="I149" s="33"/>
      <c r="J149" s="25"/>
      <c r="K149" s="31"/>
      <c r="M149" s="23"/>
      <c r="N149" s="11"/>
    </row>
    <row r="150" spans="1:14" s="10" customFormat="1" x14ac:dyDescent="0.25">
      <c r="A150" s="19"/>
      <c r="B150" s="20"/>
      <c r="C150" s="20"/>
      <c r="D150" s="20"/>
      <c r="E150" s="27"/>
      <c r="F150" s="21"/>
      <c r="G150" s="22"/>
      <c r="H150" s="25"/>
      <c r="I150" s="33"/>
      <c r="J150" s="25"/>
      <c r="K150" s="31"/>
      <c r="M150" s="23"/>
      <c r="N150" s="11"/>
    </row>
    <row r="151" spans="1:14" s="10" customFormat="1" x14ac:dyDescent="0.25">
      <c r="A151" s="19"/>
      <c r="B151" s="20"/>
      <c r="C151" s="20"/>
      <c r="D151" s="20"/>
      <c r="E151" s="27"/>
      <c r="F151" s="21"/>
      <c r="G151" s="22"/>
      <c r="H151" s="25"/>
      <c r="I151" s="33"/>
      <c r="J151" s="25"/>
      <c r="K151" s="31"/>
      <c r="M151" s="23"/>
      <c r="N151" s="11"/>
    </row>
    <row r="152" spans="1:14" s="10" customFormat="1" x14ac:dyDescent="0.25">
      <c r="A152" s="19"/>
      <c r="B152" s="20"/>
      <c r="C152" s="20"/>
      <c r="D152" s="20"/>
      <c r="E152" s="27"/>
      <c r="F152" s="21"/>
      <c r="G152" s="22"/>
      <c r="H152" s="25"/>
      <c r="I152" s="33"/>
      <c r="J152" s="25"/>
      <c r="K152" s="31"/>
      <c r="M152" s="23"/>
      <c r="N152" s="11"/>
    </row>
    <row r="153" spans="1:14" s="10" customFormat="1" x14ac:dyDescent="0.25">
      <c r="A153" s="19"/>
      <c r="B153" s="20"/>
      <c r="C153" s="20"/>
      <c r="D153" s="20"/>
      <c r="E153" s="27"/>
      <c r="F153" s="21"/>
      <c r="G153" s="22"/>
      <c r="H153" s="25"/>
      <c r="I153" s="33"/>
      <c r="J153" s="25"/>
      <c r="K153" s="31"/>
      <c r="M153" s="23"/>
      <c r="N153" s="11"/>
    </row>
    <row r="154" spans="1:14" s="10" customFormat="1" x14ac:dyDescent="0.25">
      <c r="A154" s="19"/>
      <c r="B154" s="20"/>
      <c r="C154" s="20"/>
      <c r="D154" s="20"/>
      <c r="E154" s="27"/>
      <c r="F154" s="21"/>
      <c r="G154" s="22"/>
      <c r="H154" s="25"/>
      <c r="I154" s="33"/>
      <c r="J154" s="25"/>
      <c r="K154" s="31"/>
      <c r="M154" s="23"/>
      <c r="N154" s="11"/>
    </row>
    <row r="155" spans="1:14" s="10" customFormat="1" x14ac:dyDescent="0.25">
      <c r="A155" s="19"/>
      <c r="B155" s="20"/>
      <c r="C155" s="20"/>
      <c r="D155" s="20"/>
      <c r="E155" s="27"/>
      <c r="F155" s="21"/>
      <c r="G155" s="22"/>
      <c r="H155" s="25"/>
      <c r="I155" s="33"/>
      <c r="J155" s="25"/>
      <c r="K155" s="31"/>
      <c r="M155" s="23"/>
      <c r="N155" s="11"/>
    </row>
    <row r="156" spans="1:14" s="10" customFormat="1" x14ac:dyDescent="0.25">
      <c r="A156" s="19"/>
      <c r="B156" s="20"/>
      <c r="C156" s="20"/>
      <c r="D156" s="20"/>
      <c r="E156" s="27"/>
      <c r="F156" s="21"/>
      <c r="G156" s="22"/>
      <c r="H156" s="25"/>
      <c r="I156" s="33"/>
      <c r="J156" s="25"/>
      <c r="K156" s="31"/>
      <c r="M156" s="23"/>
      <c r="N156" s="11"/>
    </row>
    <row r="157" spans="1:14" s="10" customFormat="1" x14ac:dyDescent="0.25">
      <c r="A157" s="19"/>
      <c r="B157" s="20"/>
      <c r="C157" s="20"/>
      <c r="D157" s="20"/>
      <c r="E157" s="27"/>
      <c r="F157" s="21"/>
      <c r="G157" s="22"/>
      <c r="H157" s="25"/>
      <c r="I157" s="33"/>
      <c r="J157" s="25"/>
      <c r="K157" s="31"/>
      <c r="M157" s="23"/>
      <c r="N157" s="11"/>
    </row>
    <row r="158" spans="1:14" s="10" customFormat="1" x14ac:dyDescent="0.25">
      <c r="A158" s="19"/>
      <c r="B158" s="20"/>
      <c r="C158" s="20"/>
      <c r="D158" s="20"/>
      <c r="E158" s="27"/>
      <c r="F158" s="21"/>
      <c r="G158" s="22"/>
      <c r="H158" s="25"/>
      <c r="I158" s="33"/>
      <c r="J158" s="25"/>
      <c r="K158" s="31"/>
      <c r="M158" s="23"/>
      <c r="N158" s="11"/>
    </row>
    <row r="159" spans="1:14" s="10" customFormat="1" x14ac:dyDescent="0.25">
      <c r="A159" s="19"/>
      <c r="B159" s="20"/>
      <c r="C159" s="20"/>
      <c r="D159" s="20"/>
      <c r="E159" s="27"/>
      <c r="F159" s="21"/>
      <c r="G159" s="22"/>
      <c r="H159" s="25"/>
      <c r="I159" s="33"/>
      <c r="J159" s="25"/>
      <c r="K159" s="31"/>
      <c r="M159" s="23"/>
      <c r="N159" s="11"/>
    </row>
    <row r="160" spans="1:14" s="10" customFormat="1" x14ac:dyDescent="0.25">
      <c r="A160" s="19"/>
      <c r="B160" s="20"/>
      <c r="C160" s="20"/>
      <c r="D160" s="20"/>
      <c r="E160" s="27"/>
      <c r="F160" s="21"/>
      <c r="G160" s="22"/>
      <c r="H160" s="25"/>
      <c r="I160" s="33"/>
      <c r="J160" s="25"/>
      <c r="K160" s="31"/>
      <c r="M160" s="23"/>
      <c r="N160" s="11"/>
    </row>
    <row r="161" spans="1:14" s="10" customFormat="1" x14ac:dyDescent="0.25">
      <c r="A161" s="19"/>
      <c r="B161" s="20"/>
      <c r="C161" s="20"/>
      <c r="D161" s="20"/>
      <c r="E161" s="27"/>
      <c r="F161" s="21"/>
      <c r="G161" s="22"/>
      <c r="H161" s="25"/>
      <c r="I161" s="33"/>
      <c r="J161" s="25"/>
      <c r="K161" s="31"/>
      <c r="M161" s="23"/>
      <c r="N161" s="11"/>
    </row>
    <row r="162" spans="1:14" s="10" customFormat="1" x14ac:dyDescent="0.25">
      <c r="A162" s="19"/>
      <c r="B162" s="20"/>
      <c r="C162" s="20"/>
      <c r="D162" s="20"/>
      <c r="E162" s="27"/>
      <c r="F162" s="21"/>
      <c r="G162" s="22"/>
      <c r="H162" s="25"/>
      <c r="I162" s="33"/>
      <c r="J162" s="25"/>
      <c r="K162" s="31"/>
      <c r="M162" s="23"/>
      <c r="N162" s="11"/>
    </row>
    <row r="163" spans="1:14" s="10" customFormat="1" x14ac:dyDescent="0.25">
      <c r="A163" s="19"/>
      <c r="B163" s="20"/>
      <c r="C163" s="20"/>
      <c r="D163" s="20"/>
      <c r="E163" s="27"/>
      <c r="F163" s="21"/>
      <c r="G163" s="22"/>
      <c r="H163" s="25"/>
      <c r="I163" s="33"/>
      <c r="J163" s="25"/>
      <c r="K163" s="31"/>
      <c r="M163" s="23"/>
      <c r="N163" s="11"/>
    </row>
    <row r="164" spans="1:14" s="10" customFormat="1" x14ac:dyDescent="0.25">
      <c r="A164" s="19"/>
      <c r="B164" s="20"/>
      <c r="C164" s="20"/>
      <c r="D164" s="20"/>
      <c r="E164" s="27"/>
      <c r="F164" s="21"/>
      <c r="G164" s="22"/>
      <c r="H164" s="25"/>
      <c r="I164" s="33"/>
      <c r="J164" s="25"/>
      <c r="K164" s="31"/>
      <c r="M164" s="23"/>
      <c r="N164" s="11"/>
    </row>
    <row r="165" spans="1:14" s="10" customFormat="1" x14ac:dyDescent="0.25">
      <c r="A165" s="19"/>
      <c r="B165" s="20"/>
      <c r="C165" s="20"/>
      <c r="D165" s="20"/>
      <c r="E165" s="27"/>
      <c r="F165" s="21"/>
      <c r="G165" s="22"/>
      <c r="H165" s="25"/>
      <c r="I165" s="33"/>
      <c r="J165" s="25"/>
      <c r="K165" s="31"/>
      <c r="M165" s="23"/>
      <c r="N165" s="11"/>
    </row>
    <row r="166" spans="1:14" s="10" customFormat="1" x14ac:dyDescent="0.25">
      <c r="A166" s="19"/>
      <c r="B166" s="20"/>
      <c r="C166" s="20"/>
      <c r="D166" s="20"/>
      <c r="E166" s="27"/>
      <c r="F166" s="21"/>
      <c r="G166" s="22"/>
      <c r="H166" s="25"/>
      <c r="I166" s="33"/>
      <c r="J166" s="25"/>
      <c r="K166" s="31"/>
      <c r="M166" s="23"/>
      <c r="N166" s="11"/>
    </row>
    <row r="167" spans="1:14" s="10" customFormat="1" x14ac:dyDescent="0.25">
      <c r="A167" s="19"/>
      <c r="B167" s="20"/>
      <c r="C167" s="20"/>
      <c r="D167" s="20"/>
      <c r="E167" s="27"/>
      <c r="F167" s="21"/>
      <c r="G167" s="22"/>
      <c r="H167" s="25"/>
      <c r="I167" s="33"/>
      <c r="J167" s="25"/>
      <c r="K167" s="31"/>
      <c r="M167" s="23"/>
      <c r="N167" s="11"/>
    </row>
    <row r="168" spans="1:14" s="10" customFormat="1" x14ac:dyDescent="0.25">
      <c r="A168" s="19"/>
      <c r="B168" s="20"/>
      <c r="C168" s="20"/>
      <c r="D168" s="20"/>
      <c r="E168" s="27"/>
      <c r="F168" s="21"/>
      <c r="G168" s="22"/>
      <c r="H168" s="25"/>
      <c r="I168" s="33"/>
      <c r="J168" s="25"/>
      <c r="K168" s="31"/>
      <c r="M168" s="23"/>
      <c r="N168" s="11"/>
    </row>
    <row r="169" spans="1:14" s="10" customFormat="1" x14ac:dyDescent="0.25">
      <c r="A169" s="19"/>
      <c r="B169" s="20"/>
      <c r="C169" s="20"/>
      <c r="D169" s="20"/>
      <c r="E169" s="27"/>
      <c r="F169" s="21"/>
      <c r="G169" s="22"/>
      <c r="H169" s="25"/>
      <c r="I169" s="33"/>
      <c r="J169" s="25"/>
      <c r="K169" s="31"/>
      <c r="M169" s="23"/>
      <c r="N169" s="11"/>
    </row>
    <row r="170" spans="1:14" s="10" customFormat="1" x14ac:dyDescent="0.25">
      <c r="A170" s="19"/>
      <c r="B170" s="20"/>
      <c r="C170" s="20"/>
      <c r="D170" s="20"/>
      <c r="E170" s="27"/>
      <c r="F170" s="21"/>
      <c r="G170" s="22"/>
      <c r="H170" s="25"/>
      <c r="I170" s="33"/>
      <c r="J170" s="25"/>
      <c r="K170" s="31"/>
      <c r="M170" s="23"/>
      <c r="N170" s="11"/>
    </row>
    <row r="171" spans="1:14" s="10" customFormat="1" x14ac:dyDescent="0.25">
      <c r="A171" s="19"/>
      <c r="B171" s="20"/>
      <c r="C171" s="20"/>
      <c r="D171" s="20"/>
      <c r="E171" s="27"/>
      <c r="F171" s="21"/>
      <c r="G171" s="22"/>
      <c r="H171" s="25"/>
      <c r="I171" s="33"/>
      <c r="J171" s="25"/>
      <c r="K171" s="31"/>
      <c r="M171" s="23"/>
      <c r="N171" s="11"/>
    </row>
  </sheetData>
  <autoFilter ref="A1:P11" xr:uid="{00000000-0009-0000-0000-000001000000}">
    <sortState xmlns:xlrd2="http://schemas.microsoft.com/office/spreadsheetml/2017/richdata2" ref="A2:Q81">
      <sortCondition ref="F1:F11"/>
    </sortState>
  </autoFilter>
  <conditionalFormatting sqref="A1:J1 E54 E58 E62 E66 E70 B54:D56 B58:D60 B62:D64 B66:D68 B70:D72 B74:E74 E84 E80 B75:D77 H79:H84 J75:J77 J79:J84 B79:D84 L1:XFD1">
    <cfRule type="beginsWith" dxfId="132" priority="34" operator="beginsWith" text="[K_">
      <formula>LEFT(A1,LEN("[K_"))="[K_"</formula>
    </cfRule>
  </conditionalFormatting>
  <conditionalFormatting sqref="K1">
    <cfRule type="beginsWith" dxfId="131" priority="32" operator="beginsWith" text="[K_">
      <formula>LEFT(K1,LEN("[K_"))="[K_"</formula>
    </cfRule>
  </conditionalFormatting>
  <conditionalFormatting sqref="B53:E53 B57:E57 B61:E61 B65:E65 B69:E69 B73:E73 J53:J74 E77 E83 E79">
    <cfRule type="beginsWith" dxfId="130" priority="31" operator="beginsWith" text="[K_">
      <formula>LEFT(B53,LEN("[K_"))="[K_"</formula>
    </cfRule>
  </conditionalFormatting>
  <conditionalFormatting sqref="H105:H171 B105:E171 J105:J171">
    <cfRule type="beginsWith" dxfId="129" priority="29" operator="beginsWith" text="[K_">
      <formula>LEFT(B105,LEN("[K_"))="[K_"</formula>
    </cfRule>
  </conditionalFormatting>
  <conditionalFormatting sqref="F105:F1048576 F1:F3 F53:F74">
    <cfRule type="duplicateValues" dxfId="128" priority="28"/>
  </conditionalFormatting>
  <conditionalFormatting sqref="B85:E104">
    <cfRule type="beginsWith" dxfId="127" priority="27" operator="beginsWith" text="[K_">
      <formula>LEFT(B85,LEN("[K_"))="[K_"</formula>
    </cfRule>
  </conditionalFormatting>
  <conditionalFormatting sqref="H85:H104 J85:J104">
    <cfRule type="beginsWith" dxfId="126" priority="26" operator="beginsWith" text="[K_">
      <formula>LEFT(H85,LEN("[K_"))="[K_"</formula>
    </cfRule>
  </conditionalFormatting>
  <conditionalFormatting sqref="F85:F104">
    <cfRule type="duplicateValues" dxfId="125" priority="25"/>
  </conditionalFormatting>
  <conditionalFormatting sqref="F75:F77 F79:F84">
    <cfRule type="duplicateValues" dxfId="124" priority="35"/>
  </conditionalFormatting>
  <conditionalFormatting sqref="E79:E1048576 E1:E3 E53:E77">
    <cfRule type="duplicateValues" dxfId="123" priority="24"/>
  </conditionalFormatting>
  <conditionalFormatting sqref="B78:D78 J78">
    <cfRule type="beginsWith" dxfId="122" priority="23" operator="beginsWith" text="[K_">
      <formula>LEFT(B78,LEN("[K_"))="[K_"</formula>
    </cfRule>
  </conditionalFormatting>
  <conditionalFormatting sqref="F78">
    <cfRule type="duplicateValues" dxfId="121" priority="22"/>
  </conditionalFormatting>
  <conditionalFormatting sqref="E78">
    <cfRule type="duplicateValues" dxfId="120" priority="21"/>
  </conditionalFormatting>
  <conditionalFormatting sqref="H3:J3 B3:D3 I78 J4:J52">
    <cfRule type="beginsWith" dxfId="119" priority="33" operator="beginsWith" text="[K_">
      <formula>LEFT(#REF!,LEN("[K_"))="[K_"</formula>
    </cfRule>
  </conditionalFormatting>
  <conditionalFormatting sqref="I79:I171">
    <cfRule type="beginsWith" dxfId="118" priority="30" operator="beginsWith" text="[K_">
      <formula>LEFT(#REF!,LEN("[K_"))="[K_"</formula>
    </cfRule>
  </conditionalFormatting>
  <conditionalFormatting sqref="I53:I77">
    <cfRule type="beginsWith" dxfId="117" priority="36" operator="beginsWith" text="[K_">
      <formula>LEFT(#REF!,LEN("[K_"))="[K_"</formula>
    </cfRule>
  </conditionalFormatting>
  <conditionalFormatting sqref="H4">
    <cfRule type="beginsWith" dxfId="116" priority="20" operator="beginsWith" text="[K_">
      <formula>LEFT(#REF!,LEN("[K_"))="[K_"</formula>
    </cfRule>
  </conditionalFormatting>
  <conditionalFormatting sqref="H36:H52">
    <cfRule type="beginsWith" dxfId="115" priority="6" operator="beginsWith" text="[K_">
      <formula>LEFT(#REF!,LEN("[K_"))="[K_"</formula>
    </cfRule>
  </conditionalFormatting>
  <conditionalFormatting sqref="B5:D35">
    <cfRule type="beginsWith" dxfId="114" priority="7" operator="beginsWith" text="[K_">
      <formula>LEFT(#REF!,LEN("[K_"))="[K_"</formula>
    </cfRule>
  </conditionalFormatting>
  <conditionalFormatting sqref="I5:I35">
    <cfRule type="beginsWith" dxfId="113" priority="8" operator="beginsWith" text="[K_">
      <formula>LEFT(#REF!,LEN("[K_"))="[K_"</formula>
    </cfRule>
  </conditionalFormatting>
  <conditionalFormatting sqref="I4">
    <cfRule type="beginsWith" dxfId="112" priority="11" operator="beginsWith" text="[K_">
      <formula>LEFT(#REF!,LEN("[K_"))="[K_"</formula>
    </cfRule>
  </conditionalFormatting>
  <conditionalFormatting sqref="B4:D4">
    <cfRule type="beginsWith" dxfId="111" priority="10" operator="beginsWith" text="[K_">
      <formula>LEFT(#REF!,LEN("[K_"))="[K_"</formula>
    </cfRule>
  </conditionalFormatting>
  <conditionalFormatting sqref="H5:H35">
    <cfRule type="beginsWith" dxfId="110" priority="9" operator="beginsWith" text="[K_">
      <formula>LEFT(#REF!,LEN("[K_"))="[K_"</formula>
    </cfRule>
  </conditionalFormatting>
  <conditionalFormatting sqref="I36:I52">
    <cfRule type="beginsWith" dxfId="109" priority="5" operator="beginsWith" text="[K_">
      <formula>LEFT(#REF!,LEN("[K_"))="[K_"</formula>
    </cfRule>
  </conditionalFormatting>
  <conditionalFormatting sqref="B36:D52">
    <cfRule type="beginsWith" dxfId="108" priority="4" operator="beginsWith" text="[K_">
      <formula>LEFT(#REF!,LEN("[K_"))="[K_"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AD8B-74BE-41A9-9221-33AF47D085EE}">
  <dimension ref="A1:P134"/>
  <sheetViews>
    <sheetView zoomScale="130" zoomScaleNormal="130" workbookViewId="0">
      <selection activeCell="B3" sqref="B3"/>
    </sheetView>
  </sheetViews>
  <sheetFormatPr baseColWidth="10" defaultColWidth="11.42578125" defaultRowHeight="15" x14ac:dyDescent="0.25"/>
  <cols>
    <col min="1" max="1" width="3.28515625" style="13" customWidth="1"/>
    <col min="2" max="4" width="4.140625" customWidth="1"/>
    <col min="5" max="5" width="17.5703125" style="15" bestFit="1" customWidth="1"/>
    <col min="6" max="6" width="43.28515625" style="9" bestFit="1" customWidth="1"/>
    <col min="7" max="7" width="28.140625" style="9" customWidth="1"/>
    <col min="8" max="8" width="16.28515625" style="26" customWidth="1"/>
    <col min="9" max="9" width="38.42578125" style="34" customWidth="1"/>
    <col min="10" max="10" width="24.42578125" style="15" customWidth="1"/>
    <col min="11" max="11" width="24.42578125" style="31" customWidth="1"/>
    <col min="12" max="12" width="8.42578125" customWidth="1"/>
    <col min="13" max="13" width="25.28515625" customWidth="1"/>
    <col min="14" max="14" width="17.42578125" style="12" customWidth="1"/>
  </cols>
  <sheetData>
    <row r="1" spans="1:16" s="18" customFormat="1" x14ac:dyDescent="0.25">
      <c r="A1" s="17" t="s">
        <v>8</v>
      </c>
      <c r="B1" s="18" t="s">
        <v>0</v>
      </c>
      <c r="C1" s="18" t="s">
        <v>1</v>
      </c>
      <c r="D1" s="18" t="s">
        <v>2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81</v>
      </c>
      <c r="M1" s="18" t="s">
        <v>9</v>
      </c>
      <c r="N1" s="18" t="str">
        <f>TABLE!A1</f>
        <v>PG_CI_STATE_GEO</v>
      </c>
      <c r="O1" s="18" t="s">
        <v>6</v>
      </c>
      <c r="P1" s="18" t="str">
        <f>CONCATENATE($M$1,$N$1,$O$1,B3, ", ", C3, ", ", D3, ", ", )</f>
        <v xml:space="preserve">EXECUTE [dbo].[PG_CI_STATE_GEO] 0, 10, 139, </v>
      </c>
    </row>
    <row r="2" spans="1:16" s="10" customFormat="1" x14ac:dyDescent="0.25">
      <c r="A2" s="3"/>
      <c r="B2" s="7" t="s">
        <v>7</v>
      </c>
      <c r="C2" s="7" t="s">
        <v>7</v>
      </c>
      <c r="D2" s="7" t="s">
        <v>7</v>
      </c>
      <c r="E2" s="14" t="s">
        <v>7</v>
      </c>
      <c r="F2" s="8" t="s">
        <v>7</v>
      </c>
      <c r="G2" s="8" t="s">
        <v>7</v>
      </c>
      <c r="H2" s="24" t="s">
        <v>7</v>
      </c>
      <c r="I2" s="32" t="s">
        <v>7</v>
      </c>
      <c r="J2" s="14" t="s">
        <v>7</v>
      </c>
      <c r="K2" s="14" t="s">
        <v>7</v>
      </c>
      <c r="L2" s="1"/>
      <c r="M2" s="2" t="str">
        <f>"-- =========================================================="</f>
        <v>-- ==========================================================</v>
      </c>
      <c r="O2" s="6"/>
      <c r="P2" s="1"/>
    </row>
    <row r="3" spans="1:16" s="10" customFormat="1" x14ac:dyDescent="0.25">
      <c r="A3" s="19">
        <v>1</v>
      </c>
      <c r="B3" s="20">
        <v>0</v>
      </c>
      <c r="C3" s="20">
        <v>10</v>
      </c>
      <c r="D3" s="20">
        <v>139</v>
      </c>
      <c r="E3" s="27">
        <v>83</v>
      </c>
      <c r="F3" s="21" t="s">
        <v>215</v>
      </c>
      <c r="G3" s="22" t="s">
        <v>189</v>
      </c>
      <c r="H3" s="25">
        <v>1</v>
      </c>
      <c r="I3" s="33" t="str">
        <f t="shared" ref="I3:I15" si="0">CONCATENATE("#",E3," // ",F3)</f>
        <v>#83 // Ontario</v>
      </c>
      <c r="J3" s="25">
        <v>1</v>
      </c>
      <c r="K3" s="31">
        <v>213</v>
      </c>
      <c r="M3" s="23" t="str">
        <f>CONCATENATE(CI_CANADA!$P$1,E3,", '",F3,"', '",G3,"' , ",H3," , '",I3,"' , ",J3,",",K3)</f>
        <v>EXECUTE [dbo].[PG_CI_STATE_GEO] 0, 10, 139, 83, 'Ontario', 'ON' , 1 , '#83 // Ontario' , 1,213</v>
      </c>
      <c r="N3" s="11"/>
    </row>
    <row r="4" spans="1:16" s="10" customFormat="1" x14ac:dyDescent="0.25">
      <c r="A4" s="19">
        <f>+A3+1</f>
        <v>2</v>
      </c>
      <c r="B4" s="20">
        <v>0</v>
      </c>
      <c r="C4" s="20">
        <v>10</v>
      </c>
      <c r="D4" s="20">
        <v>139</v>
      </c>
      <c r="E4" s="35">
        <f>+E3+1</f>
        <v>84</v>
      </c>
      <c r="F4" s="21" t="s">
        <v>203</v>
      </c>
      <c r="G4" s="22" t="s">
        <v>190</v>
      </c>
      <c r="H4" s="25">
        <v>1</v>
      </c>
      <c r="I4" s="33" t="str">
        <f t="shared" si="0"/>
        <v>#84 // Quebec</v>
      </c>
      <c r="J4" s="25">
        <v>1</v>
      </c>
      <c r="K4" s="31">
        <v>213</v>
      </c>
      <c r="M4" s="23" t="str">
        <f>CONCATENATE(CI_CANADA!$P$1,E4,", '",F4,"', '",G4,"' , ",H4," , '",I4,"' , ",J4,",",K4)</f>
        <v>EXECUTE [dbo].[PG_CI_STATE_GEO] 0, 10, 139, 84, 'Quebec', 'QC' , 1 , '#84 // Quebec' , 1,213</v>
      </c>
      <c r="N4" s="11"/>
    </row>
    <row r="5" spans="1:16" s="10" customFormat="1" x14ac:dyDescent="0.25">
      <c r="A5" s="19">
        <f t="shared" ref="A5:A15" si="1">+A4+1</f>
        <v>3</v>
      </c>
      <c r="B5" s="20">
        <v>0</v>
      </c>
      <c r="C5" s="20">
        <v>10</v>
      </c>
      <c r="D5" s="20">
        <v>139</v>
      </c>
      <c r="E5" s="35">
        <f t="shared" ref="E5:E15" si="2">+E4+1</f>
        <v>85</v>
      </c>
      <c r="F5" s="21" t="s">
        <v>204</v>
      </c>
      <c r="G5" s="22" t="s">
        <v>191</v>
      </c>
      <c r="H5" s="25">
        <v>1</v>
      </c>
      <c r="I5" s="33" t="str">
        <f t="shared" si="0"/>
        <v>#85 // Nueva Escocia</v>
      </c>
      <c r="J5" s="25">
        <v>0</v>
      </c>
      <c r="K5" s="31">
        <v>213</v>
      </c>
      <c r="M5" s="23" t="str">
        <f>CONCATENATE(CI_CANADA!$P$1,E5,", '",F5,"', '",G5,"' , ",H5," , '",I5,"' , ",J5,",",K5)</f>
        <v>EXECUTE [dbo].[PG_CI_STATE_GEO] 0, 10, 139, 85, 'Nueva Escocia', 'NS' , 1 , '#85 // Nueva Escocia' , 0,213</v>
      </c>
      <c r="N5" s="11"/>
    </row>
    <row r="6" spans="1:16" s="10" customFormat="1" x14ac:dyDescent="0.25">
      <c r="A6" s="19">
        <f t="shared" si="1"/>
        <v>4</v>
      </c>
      <c r="B6" s="20">
        <v>0</v>
      </c>
      <c r="C6" s="20">
        <v>10</v>
      </c>
      <c r="D6" s="20">
        <v>139</v>
      </c>
      <c r="E6" s="35">
        <f t="shared" si="2"/>
        <v>86</v>
      </c>
      <c r="F6" s="21" t="s">
        <v>205</v>
      </c>
      <c r="G6" s="22" t="s">
        <v>192</v>
      </c>
      <c r="H6" s="25">
        <v>1</v>
      </c>
      <c r="I6" s="33" t="str">
        <f t="shared" si="0"/>
        <v>#86 // Nuevo Brunswick</v>
      </c>
      <c r="J6" s="25">
        <v>0</v>
      </c>
      <c r="K6" s="31">
        <v>213</v>
      </c>
      <c r="M6" s="23" t="str">
        <f>CONCATENATE(CI_CANADA!$P$1,E6,", '",F6,"', '",G6,"' , ",H6," , '",I6,"' , ",J6,",",K6)</f>
        <v>EXECUTE [dbo].[PG_CI_STATE_GEO] 0, 10, 139, 86, 'Nuevo Brunswick', 'NB' , 1 , '#86 // Nuevo Brunswick' , 0,213</v>
      </c>
      <c r="N6" s="11"/>
    </row>
    <row r="7" spans="1:16" s="10" customFormat="1" x14ac:dyDescent="0.25">
      <c r="A7" s="19">
        <f t="shared" si="1"/>
        <v>5</v>
      </c>
      <c r="B7" s="20">
        <v>0</v>
      </c>
      <c r="C7" s="20">
        <v>10</v>
      </c>
      <c r="D7" s="20">
        <v>139</v>
      </c>
      <c r="E7" s="35">
        <f t="shared" si="2"/>
        <v>87</v>
      </c>
      <c r="F7" s="21" t="s">
        <v>206</v>
      </c>
      <c r="G7" s="22" t="s">
        <v>193</v>
      </c>
      <c r="H7" s="25">
        <v>1</v>
      </c>
      <c r="I7" s="33" t="str">
        <f t="shared" si="0"/>
        <v>#87 // Manitoba</v>
      </c>
      <c r="J7" s="25">
        <v>0</v>
      </c>
      <c r="K7" s="31">
        <v>213</v>
      </c>
      <c r="M7" s="23" t="str">
        <f>CONCATENATE(CI_CANADA!$P$1,E7,", '",F7,"', '",G7,"' , ",H7," , '",I7,"' , ",J7,",",K7)</f>
        <v>EXECUTE [dbo].[PG_CI_STATE_GEO] 0, 10, 139, 87, 'Manitoba', 'MB' , 1 , '#87 // Manitoba' , 0,213</v>
      </c>
      <c r="N7" s="11"/>
    </row>
    <row r="8" spans="1:16" s="10" customFormat="1" x14ac:dyDescent="0.25">
      <c r="A8" s="19">
        <f t="shared" si="1"/>
        <v>6</v>
      </c>
      <c r="B8" s="20">
        <v>0</v>
      </c>
      <c r="C8" s="20">
        <v>10</v>
      </c>
      <c r="D8" s="20">
        <v>139</v>
      </c>
      <c r="E8" s="35">
        <f t="shared" si="2"/>
        <v>88</v>
      </c>
      <c r="F8" s="21" t="s">
        <v>207</v>
      </c>
      <c r="G8" s="22" t="s">
        <v>194</v>
      </c>
      <c r="H8" s="25">
        <v>1</v>
      </c>
      <c r="I8" s="33" t="str">
        <f t="shared" si="0"/>
        <v>#88 // Territorios del Noroeste</v>
      </c>
      <c r="J8" s="25">
        <v>0</v>
      </c>
      <c r="K8" s="31">
        <v>213</v>
      </c>
      <c r="M8" s="23" t="str">
        <f>CONCATENATE(CI_CANADA!$P$1,E8,", '",F8,"', '",G8,"' , ",H8," , '",I8,"' , ",J8,",",K8)</f>
        <v>EXECUTE [dbo].[PG_CI_STATE_GEO] 0, 10, 139, 88, 'Territorios del Noroeste', 'NT' , 1 , '#88 // Territorios del Noroeste' , 0,213</v>
      </c>
      <c r="N8" s="11"/>
    </row>
    <row r="9" spans="1:16" s="10" customFormat="1" x14ac:dyDescent="0.25">
      <c r="A9" s="19">
        <f t="shared" si="1"/>
        <v>7</v>
      </c>
      <c r="B9" s="20">
        <v>0</v>
      </c>
      <c r="C9" s="20">
        <v>10</v>
      </c>
      <c r="D9" s="20">
        <v>139</v>
      </c>
      <c r="E9" s="35">
        <f t="shared" si="2"/>
        <v>89</v>
      </c>
      <c r="F9" s="21" t="s">
        <v>208</v>
      </c>
      <c r="G9" s="22" t="s">
        <v>195</v>
      </c>
      <c r="H9" s="25">
        <v>1</v>
      </c>
      <c r="I9" s="33" t="str">
        <f t="shared" si="0"/>
        <v>#89 // Columbia Británica</v>
      </c>
      <c r="J9" s="25">
        <v>0</v>
      </c>
      <c r="K9" s="31">
        <v>213</v>
      </c>
      <c r="M9" s="23" t="str">
        <f>CONCATENATE(CI_CANADA!$P$1,E9,", '",F9,"', '",G9,"' , ",H9," , '",I9,"' , ",J9,",",K9)</f>
        <v>EXECUTE [dbo].[PG_CI_STATE_GEO] 0, 10, 139, 89, 'Columbia Británica', 'BC' , 1 , '#89 // Columbia Británica' , 0,213</v>
      </c>
      <c r="N9" s="11"/>
    </row>
    <row r="10" spans="1:16" s="10" customFormat="1" x14ac:dyDescent="0.25">
      <c r="A10" s="19">
        <f t="shared" si="1"/>
        <v>8</v>
      </c>
      <c r="B10" s="20">
        <v>0</v>
      </c>
      <c r="C10" s="20">
        <v>10</v>
      </c>
      <c r="D10" s="20">
        <v>139</v>
      </c>
      <c r="E10" s="35">
        <f t="shared" si="2"/>
        <v>90</v>
      </c>
      <c r="F10" s="21" t="s">
        <v>209</v>
      </c>
      <c r="G10" s="22" t="s">
        <v>197</v>
      </c>
      <c r="H10" s="25">
        <v>1</v>
      </c>
      <c r="I10" s="33" t="str">
        <f t="shared" si="0"/>
        <v>#90 // Isla del Príncipe Eduardo</v>
      </c>
      <c r="J10" s="25">
        <v>0</v>
      </c>
      <c r="K10" s="31">
        <v>213</v>
      </c>
      <c r="M10" s="23" t="str">
        <f>CONCATENATE(CI_CANADA!$P$1,E10,", '",F10,"', '",G10,"' , ",H10," , '",I10,"' , ",J10,",",K10)</f>
        <v>EXECUTE [dbo].[PG_CI_STATE_GEO] 0, 10, 139, 90, 'Isla del Príncipe Eduardo', 'PE' , 1 , '#90 // Isla del Príncipe Eduardo' , 0,213</v>
      </c>
      <c r="N10" s="11"/>
    </row>
    <row r="11" spans="1:16" s="10" customFormat="1" x14ac:dyDescent="0.25">
      <c r="A11" s="19">
        <f t="shared" si="1"/>
        <v>9</v>
      </c>
      <c r="B11" s="20">
        <v>0</v>
      </c>
      <c r="C11" s="20">
        <v>10</v>
      </c>
      <c r="D11" s="20">
        <v>139</v>
      </c>
      <c r="E11" s="35">
        <f t="shared" si="2"/>
        <v>91</v>
      </c>
      <c r="F11" s="21" t="s">
        <v>210</v>
      </c>
      <c r="G11" s="22" t="s">
        <v>198</v>
      </c>
      <c r="H11" s="25">
        <v>1</v>
      </c>
      <c r="I11" s="33" t="str">
        <f t="shared" si="0"/>
        <v>#91 // Yukón</v>
      </c>
      <c r="J11" s="25">
        <v>0</v>
      </c>
      <c r="K11" s="31">
        <v>213</v>
      </c>
      <c r="M11" s="23" t="str">
        <f>CONCATENATE(CI_CANADA!$P$1,E11,", '",F11,"', '",G11,"' , ",H11," , '",I11,"' , ",J11,",",K11)</f>
        <v>EXECUTE [dbo].[PG_CI_STATE_GEO] 0, 10, 139, 91, 'Yukón', 'YT' , 1 , '#91 // Yukón' , 0,213</v>
      </c>
      <c r="N11" s="11"/>
    </row>
    <row r="12" spans="1:16" s="10" customFormat="1" x14ac:dyDescent="0.25">
      <c r="A12" s="19">
        <f t="shared" si="1"/>
        <v>10</v>
      </c>
      <c r="B12" s="20">
        <v>0</v>
      </c>
      <c r="C12" s="20">
        <v>10</v>
      </c>
      <c r="D12" s="20">
        <v>139</v>
      </c>
      <c r="E12" s="35">
        <f t="shared" si="2"/>
        <v>92</v>
      </c>
      <c r="F12" s="21" t="s">
        <v>211</v>
      </c>
      <c r="G12" s="22" t="s">
        <v>199</v>
      </c>
      <c r="H12" s="25">
        <v>1</v>
      </c>
      <c r="I12" s="33" t="str">
        <f t="shared" si="0"/>
        <v>#92 // Saskatchewan</v>
      </c>
      <c r="J12" s="25">
        <v>0</v>
      </c>
      <c r="K12" s="31">
        <v>213</v>
      </c>
      <c r="M12" s="23" t="str">
        <f>CONCATENATE(CI_CANADA!$P$1,E12,", '",F12,"', '",G12,"' , ",H12," , '",I12,"' , ",J12,",",K12)</f>
        <v>EXECUTE [dbo].[PG_CI_STATE_GEO] 0, 10, 139, 92, 'Saskatchewan', 'SK' , 1 , '#92 // Saskatchewan' , 0,213</v>
      </c>
      <c r="N12" s="11"/>
    </row>
    <row r="13" spans="1:16" s="10" customFormat="1" x14ac:dyDescent="0.25">
      <c r="A13" s="19">
        <f t="shared" si="1"/>
        <v>11</v>
      </c>
      <c r="B13" s="20">
        <v>0</v>
      </c>
      <c r="C13" s="20">
        <v>10</v>
      </c>
      <c r="D13" s="20">
        <v>139</v>
      </c>
      <c r="E13" s="35">
        <f t="shared" si="2"/>
        <v>93</v>
      </c>
      <c r="F13" s="21" t="s">
        <v>212</v>
      </c>
      <c r="G13" s="22" t="s">
        <v>200</v>
      </c>
      <c r="H13" s="25">
        <v>1</v>
      </c>
      <c r="I13" s="33" t="str">
        <f t="shared" si="0"/>
        <v>#93 // Alberta</v>
      </c>
      <c r="J13" s="25">
        <v>1</v>
      </c>
      <c r="K13" s="31">
        <v>213</v>
      </c>
      <c r="M13" s="23" t="str">
        <f>CONCATENATE(CI_CANADA!$P$1,E13,", '",F13,"', '",G13,"' , ",H13," , '",I13,"' , ",J13,",",K13)</f>
        <v>EXECUTE [dbo].[PG_CI_STATE_GEO] 0, 10, 139, 93, 'Alberta', 'AB' , 1 , '#93 // Alberta' , 1,213</v>
      </c>
      <c r="N13" s="11"/>
    </row>
    <row r="14" spans="1:16" s="10" customFormat="1" x14ac:dyDescent="0.25">
      <c r="A14" s="19">
        <f t="shared" si="1"/>
        <v>12</v>
      </c>
      <c r="B14" s="20">
        <v>0</v>
      </c>
      <c r="C14" s="20">
        <v>10</v>
      </c>
      <c r="D14" s="20">
        <v>139</v>
      </c>
      <c r="E14" s="35">
        <f t="shared" si="2"/>
        <v>94</v>
      </c>
      <c r="F14" s="21" t="s">
        <v>213</v>
      </c>
      <c r="G14" s="22" t="s">
        <v>201</v>
      </c>
      <c r="H14" s="25">
        <v>1</v>
      </c>
      <c r="I14" s="33" t="str">
        <f t="shared" si="0"/>
        <v>#94 // Terranova y Labrador</v>
      </c>
      <c r="J14" s="25">
        <v>0</v>
      </c>
      <c r="K14" s="31">
        <v>213</v>
      </c>
      <c r="M14" s="23" t="str">
        <f>CONCATENATE(CI_CANADA!$P$1,E14,", '",F14,"', '",G14,"' , ",H14," , '",I14,"' , ",J14,",",K14)</f>
        <v>EXECUTE [dbo].[PG_CI_STATE_GEO] 0, 10, 139, 94, 'Terranova y Labrador', 'NL' , 1 , '#94 // Terranova y Labrador' , 0,213</v>
      </c>
      <c r="N14" s="11"/>
    </row>
    <row r="15" spans="1:16" s="10" customFormat="1" x14ac:dyDescent="0.25">
      <c r="A15" s="19">
        <f t="shared" si="1"/>
        <v>13</v>
      </c>
      <c r="B15" s="20">
        <v>0</v>
      </c>
      <c r="C15" s="20">
        <v>10</v>
      </c>
      <c r="D15" s="20">
        <v>139</v>
      </c>
      <c r="E15" s="35">
        <f t="shared" si="2"/>
        <v>95</v>
      </c>
      <c r="F15" s="21" t="s">
        <v>214</v>
      </c>
      <c r="G15" s="22" t="s">
        <v>202</v>
      </c>
      <c r="H15" s="25">
        <v>1</v>
      </c>
      <c r="I15" s="33" t="str">
        <f t="shared" si="0"/>
        <v>#95 // Nunavut</v>
      </c>
      <c r="J15" s="25">
        <v>0</v>
      </c>
      <c r="K15" s="31">
        <v>213</v>
      </c>
      <c r="M15" s="23" t="str">
        <f>CONCATENATE(CI_CANADA!$P$1,E15,", '",F15,"', '",G15,"' , ",H15," , '",I15,"' , ",J15,",",K15)</f>
        <v>EXECUTE [dbo].[PG_CI_STATE_GEO] 0, 10, 139, 95, 'Nunavut', 'NU' , 1 , '#95 // Nunavut' , 0,213</v>
      </c>
      <c r="N15" s="11"/>
    </row>
    <row r="16" spans="1:16" s="10" customFormat="1" x14ac:dyDescent="0.25">
      <c r="A16" s="19"/>
      <c r="B16" s="20"/>
      <c r="C16" s="20"/>
      <c r="D16" s="20"/>
      <c r="E16" s="27"/>
      <c r="F16" s="21"/>
      <c r="G16" s="22"/>
      <c r="H16" s="25"/>
      <c r="I16" s="33"/>
      <c r="J16" s="25"/>
      <c r="K16" s="31"/>
      <c r="M16" s="23"/>
      <c r="N16" s="11"/>
    </row>
    <row r="17" spans="1:14" s="10" customFormat="1" x14ac:dyDescent="0.25">
      <c r="A17" s="19"/>
      <c r="B17" s="20"/>
      <c r="C17" s="20"/>
      <c r="D17" s="20"/>
      <c r="E17" s="27"/>
      <c r="F17" s="21"/>
      <c r="G17" s="22"/>
      <c r="H17" s="25"/>
      <c r="I17" s="33"/>
      <c r="J17" s="25"/>
      <c r="K17" s="31"/>
      <c r="M17" s="23"/>
      <c r="N17" s="11"/>
    </row>
    <row r="18" spans="1:14" s="10" customFormat="1" x14ac:dyDescent="0.25">
      <c r="A18" s="19"/>
      <c r="B18" s="20"/>
      <c r="C18" s="20"/>
      <c r="D18" s="20"/>
      <c r="E18" s="27"/>
      <c r="F18" s="21"/>
      <c r="G18" s="22"/>
      <c r="H18" s="25"/>
      <c r="I18" s="33"/>
      <c r="J18" s="25"/>
      <c r="K18" s="31"/>
      <c r="M18" s="23"/>
      <c r="N18" s="11"/>
    </row>
    <row r="19" spans="1:14" s="10" customFormat="1" x14ac:dyDescent="0.25">
      <c r="A19" s="19"/>
      <c r="B19" s="20"/>
      <c r="C19" s="20"/>
      <c r="D19" s="20"/>
      <c r="E19" s="27"/>
      <c r="F19" s="21"/>
      <c r="G19" s="22"/>
      <c r="H19" s="25"/>
      <c r="I19" s="33"/>
      <c r="J19" s="25"/>
      <c r="K19" s="31"/>
      <c r="M19" s="23"/>
      <c r="N19" s="11"/>
    </row>
    <row r="20" spans="1:14" s="10" customFormat="1" x14ac:dyDescent="0.25">
      <c r="A20" s="19"/>
      <c r="B20" s="20"/>
      <c r="C20" s="20"/>
      <c r="D20" s="20"/>
      <c r="E20" s="27"/>
      <c r="F20" s="21"/>
      <c r="G20" s="22"/>
      <c r="H20" s="25"/>
      <c r="I20" s="33"/>
      <c r="J20" s="25"/>
      <c r="K20" s="31"/>
      <c r="M20" s="23"/>
      <c r="N20" s="11"/>
    </row>
    <row r="21" spans="1:14" s="10" customFormat="1" x14ac:dyDescent="0.25">
      <c r="A21" s="19"/>
      <c r="B21" s="20"/>
      <c r="C21" s="20"/>
      <c r="D21" s="20"/>
      <c r="E21" s="27"/>
      <c r="F21" s="21"/>
      <c r="G21" s="22"/>
      <c r="H21" s="25"/>
      <c r="I21" s="33"/>
      <c r="J21" s="25"/>
      <c r="K21" s="31"/>
      <c r="M21" s="23"/>
      <c r="N21" s="11"/>
    </row>
    <row r="22" spans="1:14" s="10" customFormat="1" x14ac:dyDescent="0.25">
      <c r="A22" s="19"/>
      <c r="B22" s="20"/>
      <c r="C22" s="20"/>
      <c r="D22" s="20"/>
      <c r="E22" s="27"/>
      <c r="F22" s="21"/>
      <c r="G22" s="22"/>
      <c r="H22" s="25"/>
      <c r="I22" s="33"/>
      <c r="J22" s="25"/>
      <c r="K22" s="31"/>
      <c r="M22" s="23"/>
      <c r="N22" s="11"/>
    </row>
    <row r="23" spans="1:14" s="10" customFormat="1" x14ac:dyDescent="0.25">
      <c r="A23" s="19"/>
      <c r="B23" s="20"/>
      <c r="C23" s="20"/>
      <c r="D23" s="20"/>
      <c r="E23" s="27"/>
      <c r="F23" s="21"/>
      <c r="G23" s="22"/>
      <c r="H23" s="25"/>
      <c r="I23" s="33"/>
      <c r="J23" s="25"/>
      <c r="K23" s="31"/>
      <c r="M23" s="23"/>
      <c r="N23" s="11"/>
    </row>
    <row r="24" spans="1:14" s="10" customFormat="1" x14ac:dyDescent="0.25">
      <c r="A24" s="19"/>
      <c r="B24" s="20"/>
      <c r="C24" s="20"/>
      <c r="D24" s="20"/>
      <c r="E24" s="27"/>
      <c r="F24" s="21"/>
      <c r="G24" s="22"/>
      <c r="H24" s="25"/>
      <c r="I24" s="33"/>
      <c r="J24" s="25"/>
      <c r="K24" s="31"/>
      <c r="M24" s="23"/>
      <c r="N24" s="11"/>
    </row>
    <row r="25" spans="1:14" s="10" customFormat="1" x14ac:dyDescent="0.25">
      <c r="A25" s="19"/>
      <c r="B25" s="20"/>
      <c r="C25" s="20"/>
      <c r="D25" s="20"/>
      <c r="E25" s="27"/>
      <c r="F25" s="21"/>
      <c r="G25" s="22"/>
      <c r="H25" s="25"/>
      <c r="I25" s="33"/>
      <c r="J25" s="25"/>
      <c r="K25" s="31"/>
      <c r="M25" s="23"/>
      <c r="N25" s="11"/>
    </row>
    <row r="26" spans="1:14" s="10" customFormat="1" x14ac:dyDescent="0.25">
      <c r="A26" s="19"/>
      <c r="B26" s="20"/>
      <c r="C26" s="20"/>
      <c r="D26" s="20"/>
      <c r="E26" s="27"/>
      <c r="F26" s="21"/>
      <c r="G26" s="22"/>
      <c r="H26" s="25"/>
      <c r="I26" s="33"/>
      <c r="J26" s="25"/>
      <c r="K26" s="31"/>
      <c r="M26" s="23"/>
      <c r="N26" s="11"/>
    </row>
    <row r="27" spans="1:14" s="10" customFormat="1" x14ac:dyDescent="0.25">
      <c r="A27" s="19"/>
      <c r="B27" s="20"/>
      <c r="C27" s="20"/>
      <c r="D27" s="20"/>
      <c r="E27" s="27"/>
      <c r="F27" s="21"/>
      <c r="G27" s="22"/>
      <c r="H27" s="25"/>
      <c r="I27" s="33"/>
      <c r="J27" s="25"/>
      <c r="K27" s="31"/>
      <c r="M27" s="23"/>
      <c r="N27" s="11"/>
    </row>
    <row r="28" spans="1:14" s="10" customFormat="1" x14ac:dyDescent="0.25">
      <c r="A28" s="19"/>
      <c r="B28" s="20"/>
      <c r="C28" s="20"/>
      <c r="D28" s="20"/>
      <c r="E28" s="27"/>
      <c r="F28" s="21"/>
      <c r="G28" s="22"/>
      <c r="H28" s="25"/>
      <c r="I28" s="33"/>
      <c r="J28" s="25"/>
      <c r="K28" s="31"/>
      <c r="M28" s="23"/>
      <c r="N28" s="11"/>
    </row>
    <row r="29" spans="1:14" s="10" customFormat="1" x14ac:dyDescent="0.25">
      <c r="A29" s="19"/>
      <c r="B29" s="20"/>
      <c r="C29" s="20"/>
      <c r="D29" s="20"/>
      <c r="E29" s="27"/>
      <c r="F29" s="21"/>
      <c r="G29" s="22"/>
      <c r="H29" s="25"/>
      <c r="I29" s="33"/>
      <c r="J29" s="25"/>
      <c r="K29" s="31"/>
      <c r="M29" s="23"/>
      <c r="N29" s="11"/>
    </row>
    <row r="30" spans="1:14" s="10" customFormat="1" x14ac:dyDescent="0.25">
      <c r="A30" s="19"/>
      <c r="B30" s="20"/>
      <c r="C30" s="20"/>
      <c r="D30" s="20"/>
      <c r="E30" s="27" t="s">
        <v>88</v>
      </c>
      <c r="F30" s="21"/>
      <c r="G30" s="22"/>
      <c r="H30" s="25"/>
      <c r="I30" s="33"/>
      <c r="J30" s="25"/>
      <c r="K30" s="31"/>
      <c r="M30" s="23"/>
      <c r="N30" s="11"/>
    </row>
    <row r="31" spans="1:14" s="10" customFormat="1" x14ac:dyDescent="0.25">
      <c r="A31" s="19"/>
      <c r="B31" s="20"/>
      <c r="C31" s="20"/>
      <c r="D31" s="20"/>
      <c r="E31" s="27"/>
      <c r="F31" s="21"/>
      <c r="G31" s="22"/>
      <c r="H31" s="25"/>
      <c r="I31" s="33"/>
      <c r="J31" s="25"/>
      <c r="K31" s="31"/>
      <c r="M31" s="23"/>
      <c r="N31" s="11"/>
    </row>
    <row r="32" spans="1:14" s="10" customFormat="1" x14ac:dyDescent="0.25">
      <c r="A32" s="19"/>
      <c r="B32" s="20"/>
      <c r="C32" s="20"/>
      <c r="D32" s="20"/>
      <c r="E32" s="27"/>
      <c r="F32" s="21"/>
      <c r="G32" s="22"/>
      <c r="H32" s="25"/>
      <c r="I32" s="33"/>
      <c r="J32" s="25"/>
      <c r="K32" s="31"/>
      <c r="M32" s="23"/>
      <c r="N32" s="11"/>
    </row>
    <row r="33" spans="1:14" s="10" customFormat="1" x14ac:dyDescent="0.25">
      <c r="A33" s="19"/>
      <c r="B33" s="20"/>
      <c r="C33" s="20"/>
      <c r="D33" s="20"/>
      <c r="E33" s="27"/>
      <c r="F33" s="21"/>
      <c r="G33" s="22"/>
      <c r="H33" s="25"/>
      <c r="I33" s="33"/>
      <c r="J33" s="25"/>
      <c r="K33" s="31"/>
      <c r="M33" s="23"/>
      <c r="N33" s="11"/>
    </row>
    <row r="34" spans="1:14" s="10" customFormat="1" x14ac:dyDescent="0.25">
      <c r="A34" s="19"/>
      <c r="B34" s="20"/>
      <c r="C34" s="20"/>
      <c r="D34" s="20"/>
      <c r="E34" s="27"/>
      <c r="F34" s="21"/>
      <c r="G34" s="22"/>
      <c r="H34" s="25"/>
      <c r="I34" s="33"/>
      <c r="J34" s="25"/>
      <c r="K34" s="31"/>
      <c r="M34" s="23"/>
      <c r="N34" s="11"/>
    </row>
    <row r="35" spans="1:14" s="10" customFormat="1" x14ac:dyDescent="0.25">
      <c r="A35" s="19"/>
      <c r="B35" s="20"/>
      <c r="C35" s="20"/>
      <c r="D35" s="20"/>
      <c r="E35" s="27"/>
      <c r="F35" s="21"/>
      <c r="G35" s="22"/>
      <c r="H35" s="25"/>
      <c r="I35" s="33"/>
      <c r="J35" s="25"/>
      <c r="K35" s="31"/>
      <c r="M35" s="23"/>
      <c r="N35" s="11"/>
    </row>
    <row r="36" spans="1:14" s="10" customFormat="1" x14ac:dyDescent="0.25">
      <c r="A36" s="19"/>
      <c r="B36" s="20"/>
      <c r="C36" s="20"/>
      <c r="D36" s="20"/>
      <c r="E36" s="27"/>
      <c r="F36" s="21"/>
      <c r="G36" s="22"/>
      <c r="H36" s="25"/>
      <c r="I36" s="33"/>
      <c r="J36" s="25"/>
      <c r="K36" s="31"/>
      <c r="M36" s="23"/>
      <c r="N36" s="11"/>
    </row>
    <row r="37" spans="1:14" s="10" customFormat="1" x14ac:dyDescent="0.25">
      <c r="A37" s="19"/>
      <c r="B37" s="20"/>
      <c r="C37" s="20"/>
      <c r="D37" s="20"/>
      <c r="E37" s="27"/>
      <c r="F37" s="21"/>
      <c r="G37" s="22"/>
      <c r="H37" s="25"/>
      <c r="I37" s="33"/>
      <c r="J37" s="25"/>
      <c r="K37" s="31"/>
      <c r="M37" s="23"/>
      <c r="N37" s="11"/>
    </row>
    <row r="38" spans="1:14" s="10" customFormat="1" x14ac:dyDescent="0.25">
      <c r="A38" s="19"/>
      <c r="B38" s="20"/>
      <c r="C38" s="20"/>
      <c r="D38" s="20"/>
      <c r="E38" s="27"/>
      <c r="F38" s="21"/>
      <c r="G38" s="22"/>
      <c r="H38" s="25"/>
      <c r="I38" s="33"/>
      <c r="J38" s="25"/>
      <c r="K38" s="31"/>
      <c r="M38" s="23"/>
      <c r="N38" s="11"/>
    </row>
    <row r="39" spans="1:14" s="10" customFormat="1" x14ac:dyDescent="0.25">
      <c r="A39" s="19"/>
      <c r="B39" s="20"/>
      <c r="C39" s="20"/>
      <c r="D39" s="20"/>
      <c r="E39" s="27"/>
      <c r="F39" s="21"/>
      <c r="G39" s="22"/>
      <c r="H39" s="25"/>
      <c r="I39" s="33"/>
      <c r="J39" s="25"/>
      <c r="K39" s="31"/>
      <c r="M39" s="23"/>
      <c r="N39" s="11"/>
    </row>
    <row r="40" spans="1:14" s="10" customFormat="1" x14ac:dyDescent="0.25">
      <c r="A40" s="19"/>
      <c r="B40" s="20"/>
      <c r="C40" s="20"/>
      <c r="D40" s="20"/>
      <c r="E40" s="27"/>
      <c r="F40" s="21"/>
      <c r="G40" s="22"/>
      <c r="H40" s="25"/>
      <c r="I40" s="33"/>
      <c r="J40" s="25"/>
      <c r="K40" s="31"/>
      <c r="M40" s="23"/>
      <c r="N40" s="11"/>
    </row>
    <row r="41" spans="1:14" s="10" customFormat="1" x14ac:dyDescent="0.25">
      <c r="A41" s="19"/>
      <c r="B41" s="20"/>
      <c r="C41" s="20"/>
      <c r="D41" s="20"/>
      <c r="E41" s="27"/>
      <c r="F41" s="21"/>
      <c r="G41" s="22"/>
      <c r="H41" s="25"/>
      <c r="I41" s="33"/>
      <c r="J41" s="25"/>
      <c r="K41" s="31"/>
      <c r="M41" s="23"/>
      <c r="N41" s="11"/>
    </row>
    <row r="42" spans="1:14" s="10" customFormat="1" x14ac:dyDescent="0.25">
      <c r="A42" s="19"/>
      <c r="B42" s="20"/>
      <c r="C42" s="20"/>
      <c r="D42" s="20"/>
      <c r="E42" s="27"/>
      <c r="F42" s="21"/>
      <c r="G42" s="22"/>
      <c r="H42" s="25"/>
      <c r="I42" s="33"/>
      <c r="J42" s="25"/>
      <c r="K42" s="31"/>
      <c r="M42" s="23"/>
      <c r="N42" s="11"/>
    </row>
    <row r="43" spans="1:14" s="10" customFormat="1" x14ac:dyDescent="0.25">
      <c r="A43" s="19"/>
      <c r="B43" s="20"/>
      <c r="C43" s="20"/>
      <c r="D43" s="20"/>
      <c r="E43" s="27"/>
      <c r="F43" s="21"/>
      <c r="G43" s="22"/>
      <c r="H43" s="25"/>
      <c r="I43" s="33"/>
      <c r="J43" s="25"/>
      <c r="K43" s="31"/>
      <c r="M43" s="23"/>
      <c r="N43" s="11"/>
    </row>
    <row r="44" spans="1:14" s="10" customFormat="1" x14ac:dyDescent="0.25">
      <c r="A44" s="19"/>
      <c r="B44" s="20"/>
      <c r="C44" s="20"/>
      <c r="D44" s="20"/>
      <c r="E44" s="27"/>
      <c r="F44" s="21"/>
      <c r="G44" s="22"/>
      <c r="H44" s="25"/>
      <c r="I44" s="33"/>
      <c r="J44" s="25"/>
      <c r="K44" s="31"/>
      <c r="M44" s="23"/>
      <c r="N44" s="11"/>
    </row>
    <row r="45" spans="1:14" s="10" customFormat="1" x14ac:dyDescent="0.25">
      <c r="A45" s="19"/>
      <c r="B45" s="20"/>
      <c r="C45" s="20"/>
      <c r="D45" s="20"/>
      <c r="E45" s="27"/>
      <c r="F45" s="21"/>
      <c r="G45" s="22"/>
      <c r="H45" s="25"/>
      <c r="I45" s="33"/>
      <c r="J45" s="25"/>
      <c r="K45" s="31"/>
      <c r="M45" s="23"/>
      <c r="N45" s="11"/>
    </row>
    <row r="46" spans="1:14" s="10" customFormat="1" x14ac:dyDescent="0.25">
      <c r="A46" s="19"/>
      <c r="B46" s="20"/>
      <c r="C46" s="20"/>
      <c r="D46" s="20"/>
      <c r="E46" s="27"/>
      <c r="F46" s="21"/>
      <c r="G46" s="22"/>
      <c r="H46" s="25"/>
      <c r="I46" s="33"/>
      <c r="J46" s="25"/>
      <c r="K46" s="31"/>
      <c r="M46" s="23"/>
      <c r="N46" s="11"/>
    </row>
    <row r="47" spans="1:14" s="10" customFormat="1" x14ac:dyDescent="0.25">
      <c r="A47" s="19"/>
      <c r="B47" s="20"/>
      <c r="C47" s="20"/>
      <c r="D47" s="20"/>
      <c r="E47" s="27"/>
      <c r="F47" s="21"/>
      <c r="G47" s="22"/>
      <c r="H47" s="25"/>
      <c r="I47" s="33"/>
      <c r="J47" s="25"/>
      <c r="K47" s="31"/>
      <c r="M47" s="23"/>
      <c r="N47" s="11"/>
    </row>
    <row r="48" spans="1:14" s="10" customFormat="1" x14ac:dyDescent="0.25">
      <c r="A48" s="19"/>
      <c r="B48" s="20"/>
      <c r="C48" s="20"/>
      <c r="D48" s="20"/>
      <c r="E48" s="27"/>
      <c r="F48" s="21"/>
      <c r="G48" s="22"/>
      <c r="H48" s="25"/>
      <c r="I48" s="33"/>
      <c r="J48" s="25"/>
      <c r="K48" s="31"/>
      <c r="M48" s="23"/>
      <c r="N48" s="11"/>
    </row>
    <row r="49" spans="1:14" s="10" customFormat="1" x14ac:dyDescent="0.25">
      <c r="A49" s="19"/>
      <c r="B49" s="20"/>
      <c r="C49" s="20"/>
      <c r="D49" s="20"/>
      <c r="E49" s="27"/>
      <c r="F49" s="21"/>
      <c r="G49" s="22"/>
      <c r="H49" s="25"/>
      <c r="I49" s="33"/>
      <c r="J49" s="25"/>
      <c r="K49" s="31"/>
      <c r="M49" s="23"/>
      <c r="N49" s="11"/>
    </row>
    <row r="50" spans="1:14" s="10" customFormat="1" x14ac:dyDescent="0.25">
      <c r="A50" s="19"/>
      <c r="B50" s="20"/>
      <c r="C50" s="20"/>
      <c r="D50" s="20"/>
      <c r="E50" s="27"/>
      <c r="F50" s="21"/>
      <c r="G50" s="22"/>
      <c r="H50" s="25"/>
      <c r="I50" s="33"/>
      <c r="J50" s="25"/>
      <c r="K50" s="31"/>
      <c r="M50" s="23"/>
      <c r="N50" s="11"/>
    </row>
    <row r="51" spans="1:14" s="10" customFormat="1" x14ac:dyDescent="0.25">
      <c r="A51" s="19"/>
      <c r="B51" s="20"/>
      <c r="C51" s="20"/>
      <c r="D51" s="20"/>
      <c r="E51" s="27"/>
      <c r="F51" s="21"/>
      <c r="G51" s="22"/>
      <c r="H51" s="25"/>
      <c r="I51" s="33"/>
      <c r="J51" s="25"/>
      <c r="K51" s="31"/>
      <c r="M51" s="23"/>
      <c r="N51" s="11"/>
    </row>
    <row r="52" spans="1:14" s="10" customFormat="1" x14ac:dyDescent="0.25">
      <c r="A52" s="19"/>
      <c r="B52" s="20"/>
      <c r="C52" s="20"/>
      <c r="D52" s="20"/>
      <c r="E52" s="27"/>
      <c r="F52" s="21"/>
      <c r="G52" s="22"/>
      <c r="H52" s="25"/>
      <c r="I52" s="33"/>
      <c r="J52" s="25"/>
      <c r="K52" s="31"/>
      <c r="M52" s="23"/>
      <c r="N52" s="11"/>
    </row>
    <row r="53" spans="1:14" s="10" customFormat="1" x14ac:dyDescent="0.25">
      <c r="A53" s="19"/>
      <c r="B53" s="20"/>
      <c r="C53" s="20"/>
      <c r="D53" s="20"/>
      <c r="E53" s="27"/>
      <c r="F53" s="21"/>
      <c r="G53" s="22"/>
      <c r="H53" s="25"/>
      <c r="I53" s="33"/>
      <c r="J53" s="25"/>
      <c r="K53" s="31"/>
      <c r="M53" s="23"/>
      <c r="N53" s="11"/>
    </row>
    <row r="54" spans="1:14" s="10" customFormat="1" x14ac:dyDescent="0.25">
      <c r="A54" s="19"/>
      <c r="B54" s="20"/>
      <c r="C54" s="20"/>
      <c r="D54" s="20"/>
      <c r="E54" s="27"/>
      <c r="F54" s="21"/>
      <c r="G54" s="22"/>
      <c r="H54" s="25"/>
      <c r="I54" s="33"/>
      <c r="J54" s="25"/>
      <c r="K54" s="31"/>
      <c r="M54" s="23"/>
      <c r="N54" s="11"/>
    </row>
    <row r="55" spans="1:14" s="10" customFormat="1" x14ac:dyDescent="0.25">
      <c r="A55" s="19"/>
      <c r="B55" s="20"/>
      <c r="C55" s="20"/>
      <c r="D55" s="20"/>
      <c r="E55" s="27"/>
      <c r="F55" s="21"/>
      <c r="G55" s="22"/>
      <c r="H55" s="25"/>
      <c r="I55" s="33"/>
      <c r="J55" s="25"/>
      <c r="K55" s="31"/>
      <c r="M55" s="23"/>
      <c r="N55" s="11"/>
    </row>
    <row r="56" spans="1:14" s="10" customFormat="1" x14ac:dyDescent="0.25">
      <c r="A56" s="19"/>
      <c r="B56" s="20"/>
      <c r="C56" s="20"/>
      <c r="D56" s="20"/>
      <c r="E56" s="27"/>
      <c r="F56" s="21"/>
      <c r="G56" s="22"/>
      <c r="H56" s="25"/>
      <c r="I56" s="33"/>
      <c r="J56" s="25"/>
      <c r="K56" s="31"/>
      <c r="M56" s="23"/>
      <c r="N56" s="11"/>
    </row>
    <row r="57" spans="1:14" s="10" customFormat="1" x14ac:dyDescent="0.25">
      <c r="A57" s="19"/>
      <c r="B57" s="20"/>
      <c r="C57" s="20"/>
      <c r="D57" s="20"/>
      <c r="E57" s="27"/>
      <c r="F57" s="21"/>
      <c r="G57" s="22"/>
      <c r="H57" s="25"/>
      <c r="I57" s="33"/>
      <c r="J57" s="25"/>
      <c r="K57" s="31"/>
      <c r="M57" s="23"/>
      <c r="N57" s="11"/>
    </row>
    <row r="58" spans="1:14" s="10" customFormat="1" x14ac:dyDescent="0.25">
      <c r="A58" s="19"/>
      <c r="B58" s="20"/>
      <c r="C58" s="20"/>
      <c r="D58" s="20"/>
      <c r="E58" s="27"/>
      <c r="F58" s="21"/>
      <c r="G58" s="22"/>
      <c r="H58" s="25"/>
      <c r="I58" s="33"/>
      <c r="J58" s="25"/>
      <c r="K58" s="31"/>
      <c r="M58" s="23"/>
      <c r="N58" s="11"/>
    </row>
    <row r="59" spans="1:14" s="10" customFormat="1" x14ac:dyDescent="0.25">
      <c r="A59" s="19"/>
      <c r="B59" s="20"/>
      <c r="C59" s="20"/>
      <c r="D59" s="20"/>
      <c r="E59" s="27"/>
      <c r="F59" s="21"/>
      <c r="G59" s="22"/>
      <c r="H59" s="25"/>
      <c r="I59" s="33"/>
      <c r="J59" s="25"/>
      <c r="K59" s="31"/>
      <c r="M59" s="23"/>
      <c r="N59" s="11"/>
    </row>
    <row r="60" spans="1:14" s="10" customFormat="1" x14ac:dyDescent="0.25">
      <c r="A60" s="19"/>
      <c r="B60" s="20"/>
      <c r="C60" s="20"/>
      <c r="D60" s="20"/>
      <c r="E60" s="27"/>
      <c r="F60" s="21"/>
      <c r="G60" s="22"/>
      <c r="H60" s="25"/>
      <c r="I60" s="33"/>
      <c r="J60" s="25"/>
      <c r="K60" s="31"/>
      <c r="M60" s="23"/>
      <c r="N60" s="11"/>
    </row>
    <row r="61" spans="1:14" s="10" customFormat="1" x14ac:dyDescent="0.25">
      <c r="A61" s="19"/>
      <c r="B61" s="20"/>
      <c r="C61" s="20"/>
      <c r="D61" s="20"/>
      <c r="E61" s="27"/>
      <c r="F61" s="21"/>
      <c r="G61" s="22"/>
      <c r="H61" s="25"/>
      <c r="I61" s="33"/>
      <c r="J61" s="25"/>
      <c r="K61" s="31"/>
      <c r="M61" s="23"/>
      <c r="N61" s="11"/>
    </row>
    <row r="62" spans="1:14" s="10" customFormat="1" x14ac:dyDescent="0.25">
      <c r="A62" s="19"/>
      <c r="B62" s="20"/>
      <c r="C62" s="20"/>
      <c r="D62" s="20"/>
      <c r="E62" s="27"/>
      <c r="F62" s="21"/>
      <c r="G62" s="22"/>
      <c r="H62" s="25"/>
      <c r="I62" s="33"/>
      <c r="J62" s="25"/>
      <c r="K62" s="31"/>
      <c r="M62" s="23"/>
      <c r="N62" s="11"/>
    </row>
    <row r="63" spans="1:14" s="10" customFormat="1" x14ac:dyDescent="0.25">
      <c r="A63" s="19"/>
      <c r="B63" s="20"/>
      <c r="C63" s="20"/>
      <c r="D63" s="20"/>
      <c r="E63" s="27"/>
      <c r="F63" s="21"/>
      <c r="G63" s="22"/>
      <c r="H63" s="25"/>
      <c r="I63" s="33"/>
      <c r="J63" s="25"/>
      <c r="K63" s="31"/>
      <c r="M63" s="23"/>
      <c r="N63" s="11"/>
    </row>
    <row r="64" spans="1:14" s="10" customFormat="1" x14ac:dyDescent="0.25">
      <c r="A64" s="19"/>
      <c r="B64" s="20"/>
      <c r="C64" s="20"/>
      <c r="D64" s="20"/>
      <c r="E64" s="27"/>
      <c r="F64" s="21"/>
      <c r="G64" s="22"/>
      <c r="H64" s="25"/>
      <c r="I64" s="33"/>
      <c r="J64" s="25"/>
      <c r="K64" s="31"/>
      <c r="M64" s="23"/>
      <c r="N64" s="11"/>
    </row>
    <row r="65" spans="1:14" s="10" customFormat="1" x14ac:dyDescent="0.25">
      <c r="A65" s="19"/>
      <c r="B65" s="20"/>
      <c r="C65" s="20"/>
      <c r="D65" s="20"/>
      <c r="E65" s="27"/>
      <c r="F65" s="21"/>
      <c r="G65" s="22"/>
      <c r="H65" s="25"/>
      <c r="I65" s="33"/>
      <c r="J65" s="25"/>
      <c r="K65" s="31"/>
      <c r="M65" s="23"/>
      <c r="N65" s="11"/>
    </row>
    <row r="66" spans="1:14" s="10" customFormat="1" x14ac:dyDescent="0.25">
      <c r="A66" s="19"/>
      <c r="B66" s="20"/>
      <c r="C66" s="20"/>
      <c r="D66" s="20"/>
      <c r="E66" s="27"/>
      <c r="F66" s="21"/>
      <c r="G66" s="22"/>
      <c r="H66" s="25"/>
      <c r="I66" s="33"/>
      <c r="J66" s="25"/>
      <c r="K66" s="31"/>
      <c r="M66" s="23"/>
      <c r="N66" s="11"/>
    </row>
    <row r="67" spans="1:14" s="10" customFormat="1" x14ac:dyDescent="0.25">
      <c r="A67" s="19"/>
      <c r="B67" s="20"/>
      <c r="C67" s="20"/>
      <c r="D67" s="20"/>
      <c r="E67" s="27"/>
      <c r="F67" s="21"/>
      <c r="G67" s="22"/>
      <c r="H67" s="25"/>
      <c r="I67" s="33"/>
      <c r="J67" s="25"/>
      <c r="K67" s="31"/>
      <c r="M67" s="23"/>
      <c r="N67" s="11"/>
    </row>
    <row r="68" spans="1:14" s="10" customFormat="1" x14ac:dyDescent="0.25">
      <c r="A68" s="19"/>
      <c r="B68" s="20"/>
      <c r="C68" s="20"/>
      <c r="D68" s="20"/>
      <c r="E68" s="27"/>
      <c r="F68" s="21"/>
      <c r="G68" s="22"/>
      <c r="H68" s="25"/>
      <c r="I68" s="33"/>
      <c r="J68" s="25"/>
      <c r="K68" s="31"/>
      <c r="M68" s="23"/>
      <c r="N68" s="11"/>
    </row>
    <row r="69" spans="1:14" s="10" customFormat="1" x14ac:dyDescent="0.25">
      <c r="A69" s="19"/>
      <c r="B69" s="20"/>
      <c r="C69" s="20"/>
      <c r="D69" s="20"/>
      <c r="E69" s="27"/>
      <c r="F69" s="21"/>
      <c r="G69" s="22"/>
      <c r="H69" s="25"/>
      <c r="I69" s="33"/>
      <c r="J69" s="25"/>
      <c r="K69" s="31"/>
      <c r="M69" s="23"/>
      <c r="N69" s="11"/>
    </row>
    <row r="70" spans="1:14" s="10" customFormat="1" x14ac:dyDescent="0.25">
      <c r="A70" s="19"/>
      <c r="B70" s="20"/>
      <c r="C70" s="20"/>
      <c r="D70" s="20"/>
      <c r="E70" s="27"/>
      <c r="F70" s="21"/>
      <c r="G70" s="22"/>
      <c r="H70" s="25"/>
      <c r="I70" s="33"/>
      <c r="J70" s="25"/>
      <c r="K70" s="31"/>
      <c r="M70" s="23"/>
      <c r="N70" s="11"/>
    </row>
    <row r="71" spans="1:14" s="10" customFormat="1" x14ac:dyDescent="0.25">
      <c r="A71" s="19"/>
      <c r="B71" s="20"/>
      <c r="C71" s="20"/>
      <c r="D71" s="20"/>
      <c r="E71" s="27"/>
      <c r="F71" s="21"/>
      <c r="G71" s="22"/>
      <c r="H71" s="25"/>
      <c r="I71" s="33"/>
      <c r="J71" s="25"/>
      <c r="K71" s="31"/>
      <c r="M71" s="23"/>
      <c r="N71" s="11"/>
    </row>
    <row r="72" spans="1:14" s="10" customFormat="1" x14ac:dyDescent="0.25">
      <c r="A72" s="19"/>
      <c r="B72" s="20"/>
      <c r="C72" s="20"/>
      <c r="D72" s="20"/>
      <c r="E72" s="27"/>
      <c r="F72" s="21"/>
      <c r="G72" s="22"/>
      <c r="H72" s="25"/>
      <c r="I72" s="33"/>
      <c r="J72" s="25"/>
      <c r="K72" s="31"/>
      <c r="M72" s="23"/>
      <c r="N72" s="11"/>
    </row>
    <row r="73" spans="1:14" s="10" customFormat="1" x14ac:dyDescent="0.25">
      <c r="A73" s="19"/>
      <c r="B73" s="20"/>
      <c r="C73" s="20"/>
      <c r="D73" s="20"/>
      <c r="E73" s="27"/>
      <c r="F73" s="21"/>
      <c r="G73" s="22"/>
      <c r="H73" s="25"/>
      <c r="I73" s="33"/>
      <c r="J73" s="25"/>
      <c r="K73" s="31"/>
      <c r="M73" s="23"/>
      <c r="N73" s="11"/>
    </row>
    <row r="74" spans="1:14" s="10" customFormat="1" x14ac:dyDescent="0.25">
      <c r="A74" s="19"/>
      <c r="B74" s="20"/>
      <c r="C74" s="20"/>
      <c r="D74" s="20"/>
      <c r="E74" s="27"/>
      <c r="F74" s="21"/>
      <c r="G74" s="22"/>
      <c r="H74" s="25"/>
      <c r="I74" s="33"/>
      <c r="J74" s="25"/>
      <c r="K74" s="31"/>
      <c r="M74" s="23"/>
      <c r="N74" s="11"/>
    </row>
    <row r="75" spans="1:14" s="10" customFormat="1" x14ac:dyDescent="0.25">
      <c r="A75" s="19"/>
      <c r="B75" s="20"/>
      <c r="C75" s="20"/>
      <c r="D75" s="20"/>
      <c r="E75" s="27"/>
      <c r="F75" s="21"/>
      <c r="G75" s="22"/>
      <c r="H75" s="25"/>
      <c r="I75" s="33"/>
      <c r="J75" s="25"/>
      <c r="K75" s="31"/>
      <c r="M75" s="23"/>
      <c r="N75" s="11"/>
    </row>
    <row r="76" spans="1:14" s="10" customFormat="1" x14ac:dyDescent="0.25">
      <c r="A76" s="19"/>
      <c r="B76" s="20"/>
      <c r="C76" s="20"/>
      <c r="D76" s="20"/>
      <c r="E76" s="27"/>
      <c r="F76" s="21"/>
      <c r="G76" s="22"/>
      <c r="H76" s="25"/>
      <c r="I76" s="33"/>
      <c r="J76" s="25"/>
      <c r="K76" s="31"/>
      <c r="M76" s="23"/>
      <c r="N76" s="11"/>
    </row>
    <row r="77" spans="1:14" s="10" customFormat="1" x14ac:dyDescent="0.25">
      <c r="A77" s="19"/>
      <c r="B77" s="20"/>
      <c r="C77" s="20"/>
      <c r="D77" s="20"/>
      <c r="E77" s="27"/>
      <c r="F77" s="21"/>
      <c r="G77" s="22"/>
      <c r="H77" s="25"/>
      <c r="I77" s="33"/>
      <c r="J77" s="25"/>
      <c r="K77" s="31"/>
      <c r="M77" s="23"/>
      <c r="N77" s="11"/>
    </row>
    <row r="78" spans="1:14" s="10" customFormat="1" x14ac:dyDescent="0.25">
      <c r="A78" s="19"/>
      <c r="B78" s="20"/>
      <c r="C78" s="20"/>
      <c r="D78" s="20"/>
      <c r="E78" s="27"/>
      <c r="F78" s="21"/>
      <c r="G78" s="22"/>
      <c r="H78" s="25"/>
      <c r="I78" s="33"/>
      <c r="J78" s="25"/>
      <c r="K78" s="31"/>
      <c r="M78" s="23"/>
      <c r="N78" s="11"/>
    </row>
    <row r="79" spans="1:14" s="10" customFormat="1" x14ac:dyDescent="0.25">
      <c r="A79" s="19"/>
      <c r="B79" s="20"/>
      <c r="C79" s="20"/>
      <c r="D79" s="20"/>
      <c r="E79" s="27"/>
      <c r="F79" s="21"/>
      <c r="G79" s="22"/>
      <c r="H79" s="25"/>
      <c r="I79" s="33"/>
      <c r="J79" s="25"/>
      <c r="K79" s="31"/>
      <c r="M79" s="23"/>
      <c r="N79" s="11"/>
    </row>
    <row r="80" spans="1:14" s="10" customFormat="1" x14ac:dyDescent="0.25">
      <c r="A80" s="19"/>
      <c r="B80" s="20"/>
      <c r="C80" s="20"/>
      <c r="D80" s="20"/>
      <c r="E80" s="27"/>
      <c r="F80" s="21"/>
      <c r="G80" s="22"/>
      <c r="H80" s="25"/>
      <c r="I80" s="33"/>
      <c r="J80" s="25"/>
      <c r="K80" s="31"/>
      <c r="M80" s="23"/>
      <c r="N80" s="11"/>
    </row>
    <row r="81" spans="1:14" s="10" customFormat="1" x14ac:dyDescent="0.25">
      <c r="A81" s="19"/>
      <c r="B81" s="20"/>
      <c r="C81" s="20"/>
      <c r="D81" s="20"/>
      <c r="E81" s="27"/>
      <c r="F81" s="21"/>
      <c r="G81" s="22"/>
      <c r="H81" s="25"/>
      <c r="I81" s="33"/>
      <c r="J81" s="25"/>
      <c r="K81" s="31"/>
      <c r="M81" s="23"/>
      <c r="N81" s="11"/>
    </row>
    <row r="82" spans="1:14" s="10" customFormat="1" x14ac:dyDescent="0.25">
      <c r="A82" s="19"/>
      <c r="B82" s="20"/>
      <c r="C82" s="20"/>
      <c r="D82" s="20"/>
      <c r="E82" s="27"/>
      <c r="F82" s="21"/>
      <c r="G82" s="22"/>
      <c r="H82" s="25"/>
      <c r="I82" s="33"/>
      <c r="J82" s="25"/>
      <c r="K82" s="31"/>
      <c r="M82" s="23"/>
      <c r="N82" s="11"/>
    </row>
    <row r="83" spans="1:14" s="10" customFormat="1" x14ac:dyDescent="0.25">
      <c r="A83" s="19"/>
      <c r="B83" s="20"/>
      <c r="C83" s="20"/>
      <c r="D83" s="20"/>
      <c r="E83" s="27"/>
      <c r="F83" s="21"/>
      <c r="G83" s="22"/>
      <c r="H83" s="25"/>
      <c r="I83" s="33"/>
      <c r="J83" s="25"/>
      <c r="K83" s="31"/>
      <c r="M83" s="23"/>
      <c r="N83" s="11"/>
    </row>
    <row r="84" spans="1:14" s="10" customFormat="1" x14ac:dyDescent="0.25">
      <c r="A84" s="19"/>
      <c r="B84" s="20"/>
      <c r="C84" s="20"/>
      <c r="D84" s="20"/>
      <c r="E84" s="27"/>
      <c r="F84" s="21"/>
      <c r="G84" s="22"/>
      <c r="H84" s="25"/>
      <c r="I84" s="33"/>
      <c r="J84" s="25"/>
      <c r="K84" s="31"/>
      <c r="M84" s="23"/>
      <c r="N84" s="11"/>
    </row>
    <row r="85" spans="1:14" s="10" customFormat="1" x14ac:dyDescent="0.25">
      <c r="A85" s="19"/>
      <c r="B85" s="20"/>
      <c r="C85" s="20"/>
      <c r="D85" s="20"/>
      <c r="E85" s="27"/>
      <c r="F85" s="21"/>
      <c r="G85" s="22"/>
      <c r="H85" s="25"/>
      <c r="I85" s="33"/>
      <c r="J85" s="25"/>
      <c r="K85" s="31"/>
      <c r="M85" s="23"/>
      <c r="N85" s="11"/>
    </row>
    <row r="86" spans="1:14" s="10" customFormat="1" x14ac:dyDescent="0.25">
      <c r="A86" s="19"/>
      <c r="B86" s="20"/>
      <c r="C86" s="20"/>
      <c r="D86" s="20"/>
      <c r="E86" s="27"/>
      <c r="F86" s="21"/>
      <c r="G86" s="22"/>
      <c r="H86" s="25"/>
      <c r="I86" s="33"/>
      <c r="J86" s="25"/>
      <c r="K86" s="31"/>
      <c r="M86" s="23"/>
      <c r="N86" s="11"/>
    </row>
    <row r="87" spans="1:14" s="10" customFormat="1" x14ac:dyDescent="0.25">
      <c r="A87" s="19"/>
      <c r="B87" s="20"/>
      <c r="C87" s="20"/>
      <c r="D87" s="20"/>
      <c r="E87" s="27"/>
      <c r="F87" s="21"/>
      <c r="G87" s="22"/>
      <c r="H87" s="25"/>
      <c r="I87" s="33"/>
      <c r="J87" s="25"/>
      <c r="K87" s="31"/>
      <c r="M87" s="23"/>
      <c r="N87" s="11"/>
    </row>
    <row r="88" spans="1:14" s="10" customFormat="1" x14ac:dyDescent="0.25">
      <c r="A88" s="19"/>
      <c r="B88" s="20"/>
      <c r="C88" s="20"/>
      <c r="D88" s="20"/>
      <c r="E88" s="27"/>
      <c r="F88" s="21"/>
      <c r="G88" s="22"/>
      <c r="H88" s="25"/>
      <c r="I88" s="33"/>
      <c r="J88" s="25"/>
      <c r="K88" s="31"/>
      <c r="M88" s="23"/>
      <c r="N88" s="11"/>
    </row>
    <row r="89" spans="1:14" s="10" customFormat="1" x14ac:dyDescent="0.25">
      <c r="A89" s="19"/>
      <c r="B89" s="20"/>
      <c r="C89" s="20"/>
      <c r="D89" s="20"/>
      <c r="E89" s="27"/>
      <c r="F89" s="21"/>
      <c r="G89" s="22"/>
      <c r="H89" s="25"/>
      <c r="I89" s="33"/>
      <c r="J89" s="25"/>
      <c r="K89" s="31"/>
      <c r="M89" s="23"/>
      <c r="N89" s="11"/>
    </row>
    <row r="90" spans="1:14" s="10" customFormat="1" x14ac:dyDescent="0.25">
      <c r="A90" s="19"/>
      <c r="B90" s="20"/>
      <c r="C90" s="20"/>
      <c r="D90" s="20"/>
      <c r="E90" s="27"/>
      <c r="F90" s="21"/>
      <c r="G90" s="22"/>
      <c r="H90" s="25"/>
      <c r="I90" s="33"/>
      <c r="J90" s="25"/>
      <c r="K90" s="31"/>
      <c r="M90" s="23"/>
      <c r="N90" s="11"/>
    </row>
    <row r="91" spans="1:14" s="10" customFormat="1" x14ac:dyDescent="0.25">
      <c r="A91" s="19"/>
      <c r="B91" s="20"/>
      <c r="C91" s="20"/>
      <c r="D91" s="20"/>
      <c r="E91" s="27"/>
      <c r="F91" s="21"/>
      <c r="G91" s="22"/>
      <c r="H91" s="25"/>
      <c r="I91" s="33"/>
      <c r="J91" s="25"/>
      <c r="K91" s="31"/>
      <c r="M91" s="23"/>
      <c r="N91" s="11"/>
    </row>
    <row r="92" spans="1:14" s="10" customFormat="1" x14ac:dyDescent="0.25">
      <c r="A92" s="19"/>
      <c r="B92" s="20"/>
      <c r="C92" s="20"/>
      <c r="D92" s="20"/>
      <c r="E92" s="27"/>
      <c r="F92" s="21"/>
      <c r="G92" s="22"/>
      <c r="H92" s="25"/>
      <c r="I92" s="33"/>
      <c r="J92" s="25"/>
      <c r="K92" s="31"/>
      <c r="M92" s="23"/>
      <c r="N92" s="11"/>
    </row>
    <row r="93" spans="1:14" s="10" customFormat="1" x14ac:dyDescent="0.25">
      <c r="A93" s="19"/>
      <c r="B93" s="20"/>
      <c r="C93" s="20"/>
      <c r="D93" s="20"/>
      <c r="E93" s="27"/>
      <c r="F93" s="21"/>
      <c r="G93" s="22"/>
      <c r="H93" s="25"/>
      <c r="I93" s="33"/>
      <c r="J93" s="25"/>
      <c r="K93" s="31"/>
      <c r="M93" s="23"/>
      <c r="N93" s="11"/>
    </row>
    <row r="94" spans="1:14" s="10" customFormat="1" x14ac:dyDescent="0.25">
      <c r="A94" s="19"/>
      <c r="B94" s="20"/>
      <c r="C94" s="20"/>
      <c r="D94" s="20"/>
      <c r="E94" s="27"/>
      <c r="F94" s="21"/>
      <c r="G94" s="22"/>
      <c r="H94" s="25"/>
      <c r="I94" s="33"/>
      <c r="J94" s="25"/>
      <c r="K94" s="31"/>
      <c r="M94" s="23"/>
      <c r="N94" s="11"/>
    </row>
    <row r="95" spans="1:14" s="10" customFormat="1" x14ac:dyDescent="0.25">
      <c r="A95" s="19"/>
      <c r="B95" s="20"/>
      <c r="C95" s="20"/>
      <c r="D95" s="20"/>
      <c r="E95" s="27"/>
      <c r="F95" s="21"/>
      <c r="G95" s="22"/>
      <c r="H95" s="25"/>
      <c r="I95" s="33"/>
      <c r="J95" s="25"/>
      <c r="K95" s="31"/>
      <c r="M95" s="23"/>
      <c r="N95" s="11"/>
    </row>
    <row r="96" spans="1:14" s="10" customFormat="1" x14ac:dyDescent="0.25">
      <c r="A96" s="19"/>
      <c r="B96" s="20"/>
      <c r="C96" s="20"/>
      <c r="D96" s="20"/>
      <c r="E96" s="27"/>
      <c r="F96" s="21"/>
      <c r="G96" s="22"/>
      <c r="H96" s="25"/>
      <c r="I96" s="33"/>
      <c r="J96" s="25"/>
      <c r="K96" s="31"/>
      <c r="M96" s="23"/>
      <c r="N96" s="11"/>
    </row>
    <row r="97" spans="1:14" s="10" customFormat="1" x14ac:dyDescent="0.25">
      <c r="A97" s="19"/>
      <c r="B97" s="20"/>
      <c r="C97" s="20"/>
      <c r="D97" s="20"/>
      <c r="E97" s="27"/>
      <c r="F97" s="21"/>
      <c r="G97" s="22"/>
      <c r="H97" s="25"/>
      <c r="I97" s="33"/>
      <c r="J97" s="25"/>
      <c r="K97" s="31"/>
      <c r="M97" s="23"/>
      <c r="N97" s="11"/>
    </row>
    <row r="98" spans="1:14" s="10" customFormat="1" x14ac:dyDescent="0.25">
      <c r="A98" s="19"/>
      <c r="B98" s="20"/>
      <c r="C98" s="20"/>
      <c r="D98" s="20"/>
      <c r="E98" s="27"/>
      <c r="F98" s="21"/>
      <c r="G98" s="22"/>
      <c r="H98" s="25"/>
      <c r="I98" s="33"/>
      <c r="J98" s="25"/>
      <c r="K98" s="31"/>
      <c r="M98" s="23"/>
      <c r="N98" s="11"/>
    </row>
    <row r="99" spans="1:14" s="10" customFormat="1" x14ac:dyDescent="0.25">
      <c r="A99" s="19"/>
      <c r="B99" s="20"/>
      <c r="C99" s="20"/>
      <c r="D99" s="20"/>
      <c r="E99" s="27"/>
      <c r="F99" s="21"/>
      <c r="G99" s="22"/>
      <c r="H99" s="25"/>
      <c r="I99" s="33"/>
      <c r="J99" s="25"/>
      <c r="K99" s="31"/>
      <c r="M99" s="23"/>
      <c r="N99" s="11"/>
    </row>
    <row r="100" spans="1:14" s="10" customFormat="1" x14ac:dyDescent="0.25">
      <c r="A100" s="19"/>
      <c r="B100" s="20"/>
      <c r="C100" s="20"/>
      <c r="D100" s="20"/>
      <c r="E100" s="27"/>
      <c r="F100" s="21"/>
      <c r="G100" s="22"/>
      <c r="H100" s="25"/>
      <c r="I100" s="33"/>
      <c r="J100" s="25"/>
      <c r="K100" s="31"/>
      <c r="M100" s="23"/>
      <c r="N100" s="11"/>
    </row>
    <row r="101" spans="1:14" s="10" customFormat="1" x14ac:dyDescent="0.25">
      <c r="A101" s="19"/>
      <c r="B101" s="20"/>
      <c r="C101" s="20"/>
      <c r="D101" s="20"/>
      <c r="E101" s="27"/>
      <c r="F101" s="21"/>
      <c r="G101" s="22"/>
      <c r="H101" s="25"/>
      <c r="I101" s="33"/>
      <c r="J101" s="25"/>
      <c r="K101" s="31"/>
      <c r="M101" s="23"/>
      <c r="N101" s="11"/>
    </row>
    <row r="102" spans="1:14" s="10" customFormat="1" x14ac:dyDescent="0.25">
      <c r="A102" s="19"/>
      <c r="B102" s="20"/>
      <c r="C102" s="20"/>
      <c r="D102" s="20"/>
      <c r="E102" s="27"/>
      <c r="F102" s="21"/>
      <c r="G102" s="22"/>
      <c r="H102" s="25"/>
      <c r="I102" s="33"/>
      <c r="J102" s="25"/>
      <c r="K102" s="31"/>
      <c r="M102" s="23"/>
      <c r="N102" s="11"/>
    </row>
    <row r="103" spans="1:14" s="10" customFormat="1" x14ac:dyDescent="0.25">
      <c r="A103" s="19"/>
      <c r="B103" s="20"/>
      <c r="C103" s="20"/>
      <c r="D103" s="20"/>
      <c r="E103" s="27"/>
      <c r="F103" s="21"/>
      <c r="G103" s="22"/>
      <c r="H103" s="25"/>
      <c r="I103" s="33"/>
      <c r="J103" s="25"/>
      <c r="K103" s="31"/>
      <c r="M103" s="23"/>
      <c r="N103" s="11"/>
    </row>
    <row r="104" spans="1:14" s="10" customFormat="1" x14ac:dyDescent="0.25">
      <c r="A104" s="19"/>
      <c r="B104" s="20"/>
      <c r="C104" s="20"/>
      <c r="D104" s="20"/>
      <c r="E104" s="27"/>
      <c r="F104" s="21"/>
      <c r="G104" s="22"/>
      <c r="H104" s="25"/>
      <c r="I104" s="33"/>
      <c r="J104" s="25"/>
      <c r="K104" s="31"/>
      <c r="M104" s="23"/>
      <c r="N104" s="11"/>
    </row>
    <row r="105" spans="1:14" s="10" customFormat="1" x14ac:dyDescent="0.25">
      <c r="A105" s="19"/>
      <c r="B105" s="20"/>
      <c r="C105" s="20"/>
      <c r="D105" s="20"/>
      <c r="E105" s="27"/>
      <c r="F105" s="21"/>
      <c r="G105" s="22"/>
      <c r="H105" s="25"/>
      <c r="I105" s="33"/>
      <c r="J105" s="25"/>
      <c r="K105" s="31"/>
      <c r="M105" s="23"/>
      <c r="N105" s="11"/>
    </row>
    <row r="106" spans="1:14" s="10" customFormat="1" x14ac:dyDescent="0.25">
      <c r="A106" s="19"/>
      <c r="B106" s="20"/>
      <c r="C106" s="20"/>
      <c r="D106" s="20"/>
      <c r="E106" s="27"/>
      <c r="F106" s="21"/>
      <c r="G106" s="22"/>
      <c r="H106" s="25"/>
      <c r="I106" s="33"/>
      <c r="J106" s="25"/>
      <c r="K106" s="31"/>
      <c r="M106" s="23"/>
      <c r="N106" s="11"/>
    </row>
    <row r="107" spans="1:14" s="10" customFormat="1" x14ac:dyDescent="0.25">
      <c r="A107" s="19"/>
      <c r="B107" s="20"/>
      <c r="C107" s="20"/>
      <c r="D107" s="20"/>
      <c r="E107" s="27"/>
      <c r="F107" s="21"/>
      <c r="G107" s="22"/>
      <c r="H107" s="25"/>
      <c r="I107" s="33"/>
      <c r="J107" s="25"/>
      <c r="K107" s="31"/>
      <c r="M107" s="23"/>
      <c r="N107" s="11"/>
    </row>
    <row r="108" spans="1:14" s="10" customFormat="1" x14ac:dyDescent="0.25">
      <c r="A108" s="19"/>
      <c r="B108" s="20"/>
      <c r="C108" s="20"/>
      <c r="D108" s="20"/>
      <c r="E108" s="27"/>
      <c r="F108" s="21"/>
      <c r="G108" s="22"/>
      <c r="H108" s="25"/>
      <c r="I108" s="33"/>
      <c r="J108" s="25"/>
      <c r="K108" s="31"/>
      <c r="M108" s="23"/>
      <c r="N108" s="11"/>
    </row>
    <row r="109" spans="1:14" s="10" customFormat="1" x14ac:dyDescent="0.25">
      <c r="A109" s="19"/>
      <c r="B109" s="20"/>
      <c r="C109" s="20"/>
      <c r="D109" s="20"/>
      <c r="E109" s="27"/>
      <c r="F109" s="21"/>
      <c r="G109" s="22"/>
      <c r="H109" s="25"/>
      <c r="I109" s="33"/>
      <c r="J109" s="25"/>
      <c r="K109" s="31"/>
      <c r="M109" s="23"/>
      <c r="N109" s="11"/>
    </row>
    <row r="110" spans="1:14" s="10" customFormat="1" x14ac:dyDescent="0.25">
      <c r="A110" s="19"/>
      <c r="B110" s="20"/>
      <c r="C110" s="20"/>
      <c r="D110" s="20"/>
      <c r="E110" s="27"/>
      <c r="F110" s="21"/>
      <c r="G110" s="22"/>
      <c r="H110" s="25"/>
      <c r="I110" s="33"/>
      <c r="J110" s="25"/>
      <c r="K110" s="31"/>
      <c r="M110" s="23"/>
      <c r="N110" s="11"/>
    </row>
    <row r="111" spans="1:14" s="10" customFormat="1" x14ac:dyDescent="0.25">
      <c r="A111" s="19"/>
      <c r="B111" s="20"/>
      <c r="C111" s="20"/>
      <c r="D111" s="20"/>
      <c r="E111" s="27"/>
      <c r="F111" s="21"/>
      <c r="G111" s="22"/>
      <c r="H111" s="25"/>
      <c r="I111" s="33"/>
      <c r="J111" s="25"/>
      <c r="K111" s="31"/>
      <c r="M111" s="23"/>
      <c r="N111" s="11"/>
    </row>
    <row r="112" spans="1:14" s="10" customFormat="1" x14ac:dyDescent="0.25">
      <c r="A112" s="19"/>
      <c r="B112" s="20"/>
      <c r="C112" s="20"/>
      <c r="D112" s="20"/>
      <c r="E112" s="27"/>
      <c r="F112" s="21"/>
      <c r="G112" s="22"/>
      <c r="H112" s="25"/>
      <c r="I112" s="33"/>
      <c r="J112" s="25"/>
      <c r="K112" s="31"/>
      <c r="M112" s="23"/>
      <c r="N112" s="11"/>
    </row>
    <row r="113" spans="1:14" s="10" customFormat="1" x14ac:dyDescent="0.25">
      <c r="A113" s="19"/>
      <c r="B113" s="20"/>
      <c r="C113" s="20"/>
      <c r="D113" s="20"/>
      <c r="E113" s="27"/>
      <c r="F113" s="21"/>
      <c r="G113" s="22"/>
      <c r="H113" s="25"/>
      <c r="I113" s="33"/>
      <c r="J113" s="25"/>
      <c r="K113" s="31"/>
      <c r="M113" s="23"/>
      <c r="N113" s="11"/>
    </row>
    <row r="114" spans="1:14" s="10" customFormat="1" x14ac:dyDescent="0.25">
      <c r="A114" s="19"/>
      <c r="B114" s="20"/>
      <c r="C114" s="20"/>
      <c r="D114" s="20"/>
      <c r="E114" s="27"/>
      <c r="F114" s="21"/>
      <c r="G114" s="22"/>
      <c r="H114" s="25"/>
      <c r="I114" s="33"/>
      <c r="J114" s="25"/>
      <c r="K114" s="31"/>
      <c r="M114" s="23"/>
      <c r="N114" s="11"/>
    </row>
    <row r="115" spans="1:14" s="10" customFormat="1" x14ac:dyDescent="0.25">
      <c r="A115" s="19"/>
      <c r="B115" s="20"/>
      <c r="C115" s="20"/>
      <c r="D115" s="20"/>
      <c r="E115" s="27"/>
      <c r="F115" s="21"/>
      <c r="G115" s="22"/>
      <c r="H115" s="25"/>
      <c r="I115" s="33"/>
      <c r="J115" s="25"/>
      <c r="K115" s="31"/>
      <c r="M115" s="23"/>
      <c r="N115" s="11"/>
    </row>
    <row r="116" spans="1:14" s="10" customFormat="1" x14ac:dyDescent="0.25">
      <c r="A116" s="19"/>
      <c r="B116" s="20"/>
      <c r="C116" s="20"/>
      <c r="D116" s="20"/>
      <c r="E116" s="27"/>
      <c r="F116" s="21"/>
      <c r="G116" s="22"/>
      <c r="H116" s="25"/>
      <c r="I116" s="33"/>
      <c r="J116" s="25"/>
      <c r="K116" s="31"/>
      <c r="M116" s="23"/>
      <c r="N116" s="11"/>
    </row>
    <row r="117" spans="1:14" s="10" customFormat="1" x14ac:dyDescent="0.25">
      <c r="A117" s="19"/>
      <c r="B117" s="20"/>
      <c r="C117" s="20"/>
      <c r="D117" s="20"/>
      <c r="E117" s="27"/>
      <c r="F117" s="21"/>
      <c r="G117" s="22"/>
      <c r="H117" s="25"/>
      <c r="I117" s="33"/>
      <c r="J117" s="25"/>
      <c r="K117" s="31"/>
      <c r="M117" s="23"/>
      <c r="N117" s="11"/>
    </row>
    <row r="118" spans="1:14" s="10" customFormat="1" x14ac:dyDescent="0.25">
      <c r="A118" s="19"/>
      <c r="B118" s="20"/>
      <c r="C118" s="20"/>
      <c r="D118" s="20"/>
      <c r="E118" s="27"/>
      <c r="F118" s="21"/>
      <c r="G118" s="22"/>
      <c r="H118" s="25"/>
      <c r="I118" s="33"/>
      <c r="J118" s="25"/>
      <c r="K118" s="31"/>
      <c r="M118" s="23"/>
      <c r="N118" s="11"/>
    </row>
    <row r="119" spans="1:14" s="10" customFormat="1" x14ac:dyDescent="0.25">
      <c r="A119" s="19"/>
      <c r="B119" s="20"/>
      <c r="C119" s="20"/>
      <c r="D119" s="20"/>
      <c r="E119" s="27"/>
      <c r="F119" s="21"/>
      <c r="G119" s="22"/>
      <c r="H119" s="25"/>
      <c r="I119" s="33"/>
      <c r="J119" s="25"/>
      <c r="K119" s="31"/>
      <c r="M119" s="23"/>
      <c r="N119" s="11"/>
    </row>
    <row r="120" spans="1:14" s="10" customFormat="1" x14ac:dyDescent="0.25">
      <c r="A120" s="19"/>
      <c r="B120" s="20"/>
      <c r="C120" s="20"/>
      <c r="D120" s="20"/>
      <c r="E120" s="27"/>
      <c r="F120" s="21"/>
      <c r="G120" s="22"/>
      <c r="H120" s="25"/>
      <c r="I120" s="33"/>
      <c r="J120" s="25"/>
      <c r="K120" s="31"/>
      <c r="M120" s="23"/>
      <c r="N120" s="11"/>
    </row>
    <row r="121" spans="1:14" s="10" customFormat="1" x14ac:dyDescent="0.25">
      <c r="A121" s="19"/>
      <c r="B121" s="20"/>
      <c r="C121" s="20"/>
      <c r="D121" s="20"/>
      <c r="E121" s="27"/>
      <c r="F121" s="21"/>
      <c r="G121" s="22"/>
      <c r="H121" s="25"/>
      <c r="I121" s="33"/>
      <c r="J121" s="25"/>
      <c r="K121" s="31"/>
      <c r="M121" s="23"/>
      <c r="N121" s="11"/>
    </row>
    <row r="122" spans="1:14" s="10" customFormat="1" x14ac:dyDescent="0.25">
      <c r="A122" s="19"/>
      <c r="B122" s="20"/>
      <c r="C122" s="20"/>
      <c r="D122" s="20"/>
      <c r="E122" s="27"/>
      <c r="F122" s="21"/>
      <c r="G122" s="22"/>
      <c r="H122" s="25"/>
      <c r="I122" s="33"/>
      <c r="J122" s="25"/>
      <c r="K122" s="31"/>
      <c r="M122" s="23"/>
      <c r="N122" s="11"/>
    </row>
    <row r="123" spans="1:14" s="10" customFormat="1" x14ac:dyDescent="0.25">
      <c r="A123" s="19"/>
      <c r="B123" s="20"/>
      <c r="C123" s="20"/>
      <c r="D123" s="20"/>
      <c r="E123" s="27"/>
      <c r="F123" s="21"/>
      <c r="G123" s="22"/>
      <c r="H123" s="25"/>
      <c r="I123" s="33"/>
      <c r="J123" s="25"/>
      <c r="K123" s="31"/>
      <c r="M123" s="23"/>
      <c r="N123" s="11"/>
    </row>
    <row r="124" spans="1:14" s="10" customFormat="1" x14ac:dyDescent="0.25">
      <c r="A124" s="19"/>
      <c r="B124" s="20"/>
      <c r="C124" s="20"/>
      <c r="D124" s="20"/>
      <c r="E124" s="27"/>
      <c r="F124" s="21"/>
      <c r="G124" s="22"/>
      <c r="H124" s="25"/>
      <c r="I124" s="33"/>
      <c r="J124" s="25"/>
      <c r="K124" s="31"/>
      <c r="M124" s="23"/>
      <c r="N124" s="11"/>
    </row>
    <row r="125" spans="1:14" s="10" customFormat="1" x14ac:dyDescent="0.25">
      <c r="A125" s="19"/>
      <c r="B125" s="20"/>
      <c r="C125" s="20"/>
      <c r="D125" s="20"/>
      <c r="E125" s="27"/>
      <c r="F125" s="21"/>
      <c r="G125" s="22"/>
      <c r="H125" s="25"/>
      <c r="I125" s="33"/>
      <c r="J125" s="25"/>
      <c r="K125" s="31"/>
      <c r="M125" s="23"/>
      <c r="N125" s="11"/>
    </row>
    <row r="126" spans="1:14" s="10" customFormat="1" x14ac:dyDescent="0.25">
      <c r="A126" s="19"/>
      <c r="B126" s="20"/>
      <c r="C126" s="20"/>
      <c r="D126" s="20"/>
      <c r="E126" s="27"/>
      <c r="F126" s="21"/>
      <c r="G126" s="22"/>
      <c r="H126" s="25"/>
      <c r="I126" s="33"/>
      <c r="J126" s="25"/>
      <c r="K126" s="31"/>
      <c r="M126" s="23"/>
      <c r="N126" s="11"/>
    </row>
    <row r="127" spans="1:14" s="10" customFormat="1" x14ac:dyDescent="0.25">
      <c r="A127" s="19"/>
      <c r="B127" s="20"/>
      <c r="C127" s="20"/>
      <c r="D127" s="20"/>
      <c r="E127" s="27"/>
      <c r="F127" s="21"/>
      <c r="G127" s="22"/>
      <c r="H127" s="25"/>
      <c r="I127" s="33"/>
      <c r="J127" s="25"/>
      <c r="K127" s="31"/>
      <c r="M127" s="23"/>
      <c r="N127" s="11"/>
    </row>
    <row r="128" spans="1:14" s="10" customFormat="1" x14ac:dyDescent="0.25">
      <c r="A128" s="19"/>
      <c r="B128" s="20"/>
      <c r="C128" s="20"/>
      <c r="D128" s="20"/>
      <c r="E128" s="27"/>
      <c r="F128" s="21"/>
      <c r="G128" s="22"/>
      <c r="H128" s="25"/>
      <c r="I128" s="33"/>
      <c r="J128" s="25"/>
      <c r="K128" s="31"/>
      <c r="M128" s="23"/>
      <c r="N128" s="11"/>
    </row>
    <row r="129" spans="1:14" s="10" customFormat="1" x14ac:dyDescent="0.25">
      <c r="A129" s="19"/>
      <c r="B129" s="20"/>
      <c r="C129" s="20"/>
      <c r="D129" s="20"/>
      <c r="E129" s="27"/>
      <c r="F129" s="21"/>
      <c r="G129" s="22"/>
      <c r="H129" s="25"/>
      <c r="I129" s="33"/>
      <c r="J129" s="25"/>
      <c r="K129" s="31"/>
      <c r="M129" s="23"/>
      <c r="N129" s="11"/>
    </row>
    <row r="130" spans="1:14" s="10" customFormat="1" x14ac:dyDescent="0.25">
      <c r="A130" s="19"/>
      <c r="B130" s="20"/>
      <c r="C130" s="20"/>
      <c r="D130" s="20"/>
      <c r="E130" s="27"/>
      <c r="F130" s="21"/>
      <c r="G130" s="22"/>
      <c r="H130" s="25"/>
      <c r="I130" s="33"/>
      <c r="J130" s="25"/>
      <c r="K130" s="31"/>
      <c r="M130" s="23"/>
      <c r="N130" s="11"/>
    </row>
    <row r="131" spans="1:14" s="10" customFormat="1" x14ac:dyDescent="0.25">
      <c r="A131" s="19"/>
      <c r="B131" s="20"/>
      <c r="C131" s="20"/>
      <c r="D131" s="20"/>
      <c r="E131" s="27"/>
      <c r="F131" s="21"/>
      <c r="G131" s="22"/>
      <c r="H131" s="25"/>
      <c r="I131" s="33"/>
      <c r="J131" s="25"/>
      <c r="K131" s="31"/>
      <c r="M131" s="23"/>
      <c r="N131" s="11"/>
    </row>
    <row r="132" spans="1:14" s="10" customFormat="1" x14ac:dyDescent="0.25">
      <c r="A132" s="19"/>
      <c r="B132" s="20"/>
      <c r="C132" s="20"/>
      <c r="D132" s="20"/>
      <c r="E132" s="27"/>
      <c r="F132" s="21"/>
      <c r="G132" s="22"/>
      <c r="H132" s="25"/>
      <c r="I132" s="33"/>
      <c r="J132" s="25"/>
      <c r="K132" s="31"/>
      <c r="M132" s="23"/>
      <c r="N132" s="11"/>
    </row>
    <row r="133" spans="1:14" s="10" customFormat="1" x14ac:dyDescent="0.25">
      <c r="A133" s="19"/>
      <c r="B133" s="20"/>
      <c r="C133" s="20"/>
      <c r="D133" s="20"/>
      <c r="E133" s="27"/>
      <c r="F133" s="21"/>
      <c r="G133" s="22"/>
      <c r="H133" s="25"/>
      <c r="I133" s="33"/>
      <c r="J133" s="25"/>
      <c r="K133" s="31"/>
      <c r="M133" s="23"/>
      <c r="N133" s="11"/>
    </row>
    <row r="134" spans="1:14" s="10" customFormat="1" x14ac:dyDescent="0.25">
      <c r="A134" s="19"/>
      <c r="B134" s="20"/>
      <c r="C134" s="20"/>
      <c r="D134" s="20"/>
      <c r="E134" s="27"/>
      <c r="F134" s="21"/>
      <c r="G134" s="22"/>
      <c r="H134" s="25"/>
      <c r="I134" s="33"/>
      <c r="J134" s="25"/>
      <c r="K134" s="31"/>
      <c r="M134" s="23"/>
      <c r="N134" s="11"/>
    </row>
  </sheetData>
  <autoFilter ref="A1:P11" xr:uid="{00000000-0009-0000-0000-000001000000}">
    <sortState xmlns:xlrd2="http://schemas.microsoft.com/office/spreadsheetml/2017/richdata2" ref="A2:Q81">
      <sortCondition ref="F1:F11"/>
    </sortState>
  </autoFilter>
  <conditionalFormatting sqref="A1:J1 E17 E21 E25 E29 E33 B17:D19 B21:D23 B25:D27 B29:D31 B33:D35 B37:E37 E47 E43 B38:D40 H42:H47 J38:J40 J42:J47 B42:D47 L1:XFD1">
    <cfRule type="beginsWith" dxfId="107" priority="23" operator="beginsWith" text="[K_">
      <formula>LEFT(A1,LEN("[K_"))="[K_"</formula>
    </cfRule>
  </conditionalFormatting>
  <conditionalFormatting sqref="K1">
    <cfRule type="beginsWith" dxfId="106" priority="21" operator="beginsWith" text="[K_">
      <formula>LEFT(K1,LEN("[K_"))="[K_"</formula>
    </cfRule>
  </conditionalFormatting>
  <conditionalFormatting sqref="B16:E16 B20:E20 B24:E24 B28:E28 B32:E32 B36:E36 J16:J37 E40 E46 E42">
    <cfRule type="beginsWith" dxfId="105" priority="20" operator="beginsWith" text="[K_">
      <formula>LEFT(B16,LEN("[K_"))="[K_"</formula>
    </cfRule>
  </conditionalFormatting>
  <conditionalFormatting sqref="H68:H134 B68:E134 J68:J134">
    <cfRule type="beginsWith" dxfId="104" priority="18" operator="beginsWith" text="[K_">
      <formula>LEFT(B68,LEN("[K_"))="[K_"</formula>
    </cfRule>
  </conditionalFormatting>
  <conditionalFormatting sqref="F68:F1048576 F1:F3 F16:F37">
    <cfRule type="duplicateValues" dxfId="103" priority="17"/>
  </conditionalFormatting>
  <conditionalFormatting sqref="B48:E67">
    <cfRule type="beginsWith" dxfId="102" priority="16" operator="beginsWith" text="[K_">
      <formula>LEFT(B48,LEN("[K_"))="[K_"</formula>
    </cfRule>
  </conditionalFormatting>
  <conditionalFormatting sqref="H48:H67 J48:J67">
    <cfRule type="beginsWith" dxfId="101" priority="15" operator="beginsWith" text="[K_">
      <formula>LEFT(H48,LEN("[K_"))="[K_"</formula>
    </cfRule>
  </conditionalFormatting>
  <conditionalFormatting sqref="F48:F67">
    <cfRule type="duplicateValues" dxfId="100" priority="14"/>
  </conditionalFormatting>
  <conditionalFormatting sqref="F38:F40 F42:F47">
    <cfRule type="duplicateValues" dxfId="99" priority="24"/>
  </conditionalFormatting>
  <conditionalFormatting sqref="E42:E1048576 E1:E3 E16:E40">
    <cfRule type="duplicateValues" dxfId="98" priority="13"/>
  </conditionalFormatting>
  <conditionalFormatting sqref="B41:D41 J41">
    <cfRule type="beginsWith" dxfId="97" priority="12" operator="beginsWith" text="[K_">
      <formula>LEFT(B41,LEN("[K_"))="[K_"</formula>
    </cfRule>
  </conditionalFormatting>
  <conditionalFormatting sqref="F41">
    <cfRule type="duplicateValues" dxfId="96" priority="11"/>
  </conditionalFormatting>
  <conditionalFormatting sqref="E41">
    <cfRule type="duplicateValues" dxfId="95" priority="10"/>
  </conditionalFormatting>
  <conditionalFormatting sqref="H3:J3 B3:D3 I41 J4:J15">
    <cfRule type="beginsWith" dxfId="94" priority="22" operator="beginsWith" text="[K_">
      <formula>LEFT(#REF!,LEN("[K_"))="[K_"</formula>
    </cfRule>
  </conditionalFormatting>
  <conditionalFormatting sqref="I42:I134">
    <cfRule type="beginsWith" dxfId="93" priority="19" operator="beginsWith" text="[K_">
      <formula>LEFT(#REF!,LEN("[K_"))="[K_"</formula>
    </cfRule>
  </conditionalFormatting>
  <conditionalFormatting sqref="I16:I40">
    <cfRule type="beginsWith" dxfId="92" priority="25" operator="beginsWith" text="[K_">
      <formula>LEFT(#REF!,LEN("[K_"))="[K_"</formula>
    </cfRule>
  </conditionalFormatting>
  <conditionalFormatting sqref="H4">
    <cfRule type="beginsWith" dxfId="91" priority="9" operator="beginsWith" text="[K_">
      <formula>LEFT(#REF!,LEN("[K_"))="[K_"</formula>
    </cfRule>
  </conditionalFormatting>
  <conditionalFormatting sqref="B5:D15">
    <cfRule type="beginsWith" dxfId="90" priority="4" operator="beginsWith" text="[K_">
      <formula>LEFT(#REF!,LEN("[K_"))="[K_"</formula>
    </cfRule>
  </conditionalFormatting>
  <conditionalFormatting sqref="I5:I15">
    <cfRule type="beginsWith" dxfId="89" priority="5" operator="beginsWith" text="[K_">
      <formula>LEFT(#REF!,LEN("[K_"))="[K_"</formula>
    </cfRule>
  </conditionalFormatting>
  <conditionalFormatting sqref="I4">
    <cfRule type="beginsWith" dxfId="88" priority="8" operator="beginsWith" text="[K_">
      <formula>LEFT(#REF!,LEN("[K_"))="[K_"</formula>
    </cfRule>
  </conditionalFormatting>
  <conditionalFormatting sqref="B4:D4">
    <cfRule type="beginsWith" dxfId="87" priority="7" operator="beginsWith" text="[K_">
      <formula>LEFT(#REF!,LEN("[K_"))="[K_"</formula>
    </cfRule>
  </conditionalFormatting>
  <conditionalFormatting sqref="H5:H15">
    <cfRule type="beginsWith" dxfId="86" priority="6" operator="beginsWith" text="[K_">
      <formula>LEFT(#REF!,LEN("[K_"))="[K_"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353E-0689-4ED8-8A7D-55093B97DA3E}">
  <dimension ref="A1:P134"/>
  <sheetViews>
    <sheetView zoomScale="130" zoomScaleNormal="130" workbookViewId="0">
      <selection activeCell="I25" sqref="I25"/>
    </sheetView>
  </sheetViews>
  <sheetFormatPr baseColWidth="10" defaultColWidth="11.42578125" defaultRowHeight="15" x14ac:dyDescent="0.25"/>
  <cols>
    <col min="1" max="1" width="3.28515625" style="13" customWidth="1"/>
    <col min="2" max="4" width="4.140625" customWidth="1"/>
    <col min="5" max="5" width="17.5703125" style="15" bestFit="1" customWidth="1"/>
    <col min="6" max="6" width="43.28515625" style="9" bestFit="1" customWidth="1"/>
    <col min="7" max="7" width="28.140625" style="9" customWidth="1"/>
    <col min="8" max="8" width="16.28515625" style="26" customWidth="1"/>
    <col min="9" max="9" width="38.42578125" style="34" customWidth="1"/>
    <col min="10" max="10" width="24.42578125" style="15" customWidth="1"/>
    <col min="11" max="11" width="24.42578125" style="31" customWidth="1"/>
    <col min="12" max="12" width="8.42578125" customWidth="1"/>
    <col min="13" max="13" width="25.28515625" customWidth="1"/>
    <col min="14" max="14" width="17.42578125" style="12" customWidth="1"/>
  </cols>
  <sheetData>
    <row r="1" spans="1:16" s="18" customFormat="1" x14ac:dyDescent="0.25">
      <c r="A1" s="17" t="s">
        <v>8</v>
      </c>
      <c r="B1" s="18" t="s">
        <v>0</v>
      </c>
      <c r="C1" s="18" t="s">
        <v>1</v>
      </c>
      <c r="D1" s="18" t="s">
        <v>2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81</v>
      </c>
      <c r="M1" s="18" t="s">
        <v>9</v>
      </c>
      <c r="N1" s="18" t="str">
        <f>TABLE!A1</f>
        <v>PG_CI_STATE_GEO</v>
      </c>
      <c r="O1" s="18" t="s">
        <v>6</v>
      </c>
      <c r="P1" s="18" t="str">
        <f>CONCATENATE($M$1,$N$1,$O$1,B3, ", ", C3, ", ", D3, ", ", )</f>
        <v xml:space="preserve">EXECUTE [dbo].[PG_CI_STATE_GEO] 0, 10, 139, </v>
      </c>
    </row>
    <row r="2" spans="1:16" s="10" customFormat="1" x14ac:dyDescent="0.25">
      <c r="A2" s="3"/>
      <c r="B2" s="7" t="s">
        <v>7</v>
      </c>
      <c r="C2" s="7" t="s">
        <v>7</v>
      </c>
      <c r="D2" s="7" t="s">
        <v>7</v>
      </c>
      <c r="E2" s="14" t="s">
        <v>7</v>
      </c>
      <c r="F2" s="8" t="s">
        <v>7</v>
      </c>
      <c r="G2" s="8" t="s">
        <v>7</v>
      </c>
      <c r="H2" s="24" t="s">
        <v>7</v>
      </c>
      <c r="I2" s="32" t="s">
        <v>7</v>
      </c>
      <c r="J2" s="14" t="s">
        <v>7</v>
      </c>
      <c r="K2" s="14" t="s">
        <v>7</v>
      </c>
      <c r="L2" s="1"/>
      <c r="M2" s="2" t="str">
        <f>"-- =========================================================="</f>
        <v>-- ==========================================================</v>
      </c>
      <c r="O2" s="6"/>
      <c r="P2" s="1"/>
    </row>
    <row r="3" spans="1:16" s="10" customFormat="1" x14ac:dyDescent="0.25">
      <c r="A3" s="19">
        <v>1</v>
      </c>
      <c r="B3" s="20">
        <v>0</v>
      </c>
      <c r="C3" s="20">
        <v>10</v>
      </c>
      <c r="D3" s="20">
        <v>139</v>
      </c>
      <c r="E3" s="27">
        <v>96</v>
      </c>
      <c r="F3" s="21" t="s">
        <v>314</v>
      </c>
      <c r="G3" s="22" t="s">
        <v>315</v>
      </c>
      <c r="H3" s="25">
        <v>1</v>
      </c>
      <c r="I3" s="33" t="str">
        <f t="shared" ref="I3:I15" si="0">CONCATENATE("#",E3," // ",F3)</f>
        <v>#96 // Australia Meridional</v>
      </c>
      <c r="J3" s="25">
        <v>0</v>
      </c>
      <c r="K3" s="31">
        <v>501</v>
      </c>
      <c r="M3" s="23" t="str">
        <f>CONCATENATE(CI_AUSTRALIA!$P$1,E3,", '",F3,"', '",G3,"' , ",H3," , '",I3,"' , ",J3,",",K3)</f>
        <v>EXECUTE [dbo].[PG_CI_STATE_GEO] 0, 10, 139, 96, 'Australia Meridional', 'AU-SA' , 1 , '#96 // Australia Meridional' , 0,501</v>
      </c>
      <c r="N3" s="11"/>
    </row>
    <row r="4" spans="1:16" s="10" customFormat="1" x14ac:dyDescent="0.25">
      <c r="A4" s="19">
        <f>+A3+1</f>
        <v>2</v>
      </c>
      <c r="B4" s="20">
        <v>0</v>
      </c>
      <c r="C4" s="20">
        <v>10</v>
      </c>
      <c r="D4" s="20">
        <v>139</v>
      </c>
      <c r="E4" s="35">
        <f>+E3+1</f>
        <v>97</v>
      </c>
      <c r="F4" s="21" t="s">
        <v>319</v>
      </c>
      <c r="G4" s="22" t="s">
        <v>320</v>
      </c>
      <c r="H4" s="25">
        <v>1</v>
      </c>
      <c r="I4" s="33" t="str">
        <f t="shared" si="0"/>
        <v>#97 // Australia Occidental</v>
      </c>
      <c r="J4" s="25">
        <v>0</v>
      </c>
      <c r="K4" s="31">
        <v>501</v>
      </c>
      <c r="M4" s="23" t="str">
        <f>CONCATENATE(CI_AUSTRALIA!$P$1,E4,", '",F4,"', '",G4,"' , ",H4," , '",I4,"' , ",J4,",",K4)</f>
        <v>EXECUTE [dbo].[PG_CI_STATE_GEO] 0, 10, 139, 97, 'Australia Occidental', 'AU-WA' , 1 , '#97 // Australia Occidental' , 0,501</v>
      </c>
      <c r="N4" s="11"/>
    </row>
    <row r="5" spans="1:16" s="10" customFormat="1" x14ac:dyDescent="0.25">
      <c r="A5" s="19">
        <f t="shared" ref="A5:A18" si="1">+A4+1</f>
        <v>3</v>
      </c>
      <c r="B5" s="20">
        <v>0</v>
      </c>
      <c r="C5" s="20">
        <v>10</v>
      </c>
      <c r="D5" s="20">
        <v>139</v>
      </c>
      <c r="E5" s="35">
        <f t="shared" ref="E5:E15" si="2">+E4+1</f>
        <v>98</v>
      </c>
      <c r="F5" s="21" t="s">
        <v>297</v>
      </c>
      <c r="G5" s="22" t="s">
        <v>298</v>
      </c>
      <c r="H5" s="25">
        <v>1</v>
      </c>
      <c r="I5" s="33" t="str">
        <f t="shared" si="0"/>
        <v>#98 // Isla de Navidad</v>
      </c>
      <c r="J5" s="25">
        <v>0</v>
      </c>
      <c r="K5" s="31">
        <v>501</v>
      </c>
      <c r="M5" s="23" t="str">
        <f>CONCATENATE(CI_AUSTRALIA!$P$1,E5,", '",F5,"', '",G5,"' , ",H5," , '",I5,"' , ",J5,",",K5)</f>
        <v>EXECUTE [dbo].[PG_CI_STATE_GEO] 0, 10, 139, 98, 'Isla de Navidad', 'CX' , 1 , '#98 // Isla de Navidad' , 0,501</v>
      </c>
      <c r="N5" s="11"/>
    </row>
    <row r="6" spans="1:16" s="10" customFormat="1" x14ac:dyDescent="0.25">
      <c r="A6" s="19">
        <f t="shared" si="1"/>
        <v>4</v>
      </c>
      <c r="B6" s="20">
        <v>0</v>
      </c>
      <c r="C6" s="20">
        <v>10</v>
      </c>
      <c r="D6" s="20">
        <v>139</v>
      </c>
      <c r="E6" s="35">
        <f t="shared" si="2"/>
        <v>99</v>
      </c>
      <c r="F6" s="21" t="s">
        <v>308</v>
      </c>
      <c r="G6" s="22" t="s">
        <v>309</v>
      </c>
      <c r="H6" s="25">
        <v>1</v>
      </c>
      <c r="I6" s="33" t="str">
        <f t="shared" si="0"/>
        <v>#99 // Isla Norfolk</v>
      </c>
      <c r="J6" s="25">
        <v>0</v>
      </c>
      <c r="K6" s="31">
        <v>501</v>
      </c>
      <c r="M6" s="23" t="str">
        <f>CONCATENATE(CI_AUSTRALIA!$P$1,E6,", '",F6,"', '",G6,"' , ",H6," , '",I6,"' , ",J6,",",K6)</f>
        <v>EXECUTE [dbo].[PG_CI_STATE_GEO] 0, 10, 139, 99, 'Isla Norfolk', 'NF' , 1 , '#99 // Isla Norfolk' , 0,501</v>
      </c>
      <c r="N6" s="11"/>
    </row>
    <row r="7" spans="1:16" s="10" customFormat="1" x14ac:dyDescent="0.25">
      <c r="A7" s="19">
        <f t="shared" si="1"/>
        <v>5</v>
      </c>
      <c r="B7" s="20">
        <v>0</v>
      </c>
      <c r="C7" s="20">
        <v>10</v>
      </c>
      <c r="D7" s="20">
        <v>139</v>
      </c>
      <c r="E7" s="35">
        <f t="shared" si="2"/>
        <v>100</v>
      </c>
      <c r="F7" s="21" t="s">
        <v>293</v>
      </c>
      <c r="G7" s="22" t="s">
        <v>323</v>
      </c>
      <c r="H7" s="25">
        <v>1</v>
      </c>
      <c r="I7" s="33" t="str">
        <f t="shared" si="0"/>
        <v>#100 // Islas Ashmore y Cartier</v>
      </c>
      <c r="J7" s="25">
        <v>0</v>
      </c>
      <c r="K7" s="31">
        <v>501</v>
      </c>
      <c r="M7" s="23" t="str">
        <f>CONCATENATE(CI_AUSTRALIA!$P$1,E7,", '",F7,"', '",G7,"' , ",H7," , '",I7,"' , ",J7,",",K7)</f>
        <v>EXECUTE [dbo].[PG_CI_STATE_GEO] 0, 10, 139, 100, 'Islas Ashmore y Cartier', 'ISASC' , 1 , '#100 // Islas Ashmore y Cartier' , 0,501</v>
      </c>
      <c r="N7" s="11"/>
    </row>
    <row r="8" spans="1:16" s="10" customFormat="1" x14ac:dyDescent="0.25">
      <c r="A8" s="19">
        <f t="shared" si="1"/>
        <v>6</v>
      </c>
      <c r="B8" s="20">
        <v>0</v>
      </c>
      <c r="C8" s="20">
        <v>10</v>
      </c>
      <c r="D8" s="20">
        <v>139</v>
      </c>
      <c r="E8" s="35">
        <f t="shared" si="2"/>
        <v>101</v>
      </c>
      <c r="F8" s="21" t="s">
        <v>299</v>
      </c>
      <c r="G8" s="22" t="s">
        <v>300</v>
      </c>
      <c r="H8" s="25">
        <v>1</v>
      </c>
      <c r="I8" s="33" t="str">
        <f t="shared" si="0"/>
        <v>#101 // Islas Cocos</v>
      </c>
      <c r="J8" s="25">
        <v>0</v>
      </c>
      <c r="K8" s="31">
        <v>501</v>
      </c>
      <c r="M8" s="23" t="str">
        <f>CONCATENATE(CI_AUSTRALIA!$P$1,E8,", '",F8,"', '",G8,"' , ",H8," , '",I8,"' , ",J8,",",K8)</f>
        <v>EXECUTE [dbo].[PG_CI_STATE_GEO] 0, 10, 139, 101, 'Islas Cocos', 'CC' , 1 , '#101 // Islas Cocos' , 0,501</v>
      </c>
      <c r="N8" s="11"/>
    </row>
    <row r="9" spans="1:16" s="10" customFormat="1" x14ac:dyDescent="0.25">
      <c r="A9" s="19">
        <f t="shared" si="1"/>
        <v>7</v>
      </c>
      <c r="B9" s="20">
        <v>0</v>
      </c>
      <c r="C9" s="20">
        <v>10</v>
      </c>
      <c r="D9" s="20">
        <v>139</v>
      </c>
      <c r="E9" s="35">
        <f t="shared" si="2"/>
        <v>102</v>
      </c>
      <c r="F9" s="21" t="s">
        <v>301</v>
      </c>
      <c r="G9" s="22" t="s">
        <v>322</v>
      </c>
      <c r="H9" s="25">
        <v>1</v>
      </c>
      <c r="I9" s="33" t="str">
        <f t="shared" si="0"/>
        <v>#102 // Islas del Mar del Coral</v>
      </c>
      <c r="J9" s="25">
        <v>0</v>
      </c>
      <c r="K9" s="31">
        <v>501</v>
      </c>
      <c r="M9" s="23" t="str">
        <f>CONCATENATE(CI_AUSTRALIA!$P$1,E9,", '",F9,"', '",G9,"' , ",H9," , '",I9,"' , ",J9,",",K9)</f>
        <v>EXECUTE [dbo].[PG_CI_STATE_GEO] 0, 10, 139, 102, 'Islas del Mar del Coral', 'ISMAC' , 1 , '#102 // Islas del Mar del Coral' , 0,501</v>
      </c>
      <c r="N9" s="11"/>
    </row>
    <row r="10" spans="1:16" s="10" customFormat="1" x14ac:dyDescent="0.25">
      <c r="A10" s="19">
        <f t="shared" si="1"/>
        <v>8</v>
      </c>
      <c r="B10" s="20">
        <v>0</v>
      </c>
      <c r="C10" s="20">
        <v>10</v>
      </c>
      <c r="D10" s="20">
        <v>139</v>
      </c>
      <c r="E10" s="35">
        <f t="shared" si="2"/>
        <v>103</v>
      </c>
      <c r="F10" s="21" t="s">
        <v>302</v>
      </c>
      <c r="G10" s="22" t="s">
        <v>303</v>
      </c>
      <c r="H10" s="25">
        <v>1</v>
      </c>
      <c r="I10" s="33" t="str">
        <f t="shared" si="0"/>
        <v>#103 // Islas Heard y McDonald</v>
      </c>
      <c r="J10" s="25">
        <v>0</v>
      </c>
      <c r="K10" s="31">
        <v>501</v>
      </c>
      <c r="M10" s="23" t="str">
        <f>CONCATENATE(CI_AUSTRALIA!$P$1,E10,", '",F10,"', '",G10,"' , ",H10," , '",I10,"' , ",J10,",",K10)</f>
        <v>EXECUTE [dbo].[PG_CI_STATE_GEO] 0, 10, 139, 103, 'Islas Heard y McDonald', 'HM' , 1 , '#103 // Islas Heard y McDonald' , 0,501</v>
      </c>
      <c r="N10" s="11"/>
    </row>
    <row r="11" spans="1:16" s="10" customFormat="1" x14ac:dyDescent="0.25">
      <c r="A11" s="19">
        <f t="shared" si="1"/>
        <v>9</v>
      </c>
      <c r="B11" s="20">
        <v>0</v>
      </c>
      <c r="C11" s="20">
        <v>10</v>
      </c>
      <c r="D11" s="20">
        <v>139</v>
      </c>
      <c r="E11" s="35">
        <f t="shared" si="2"/>
        <v>104</v>
      </c>
      <c r="F11" s="21" t="s">
        <v>306</v>
      </c>
      <c r="G11" s="22" t="s">
        <v>307</v>
      </c>
      <c r="H11" s="25">
        <v>1</v>
      </c>
      <c r="I11" s="33" t="str">
        <f t="shared" si="0"/>
        <v>#104 // Nueva Gales del Sur</v>
      </c>
      <c r="J11" s="25">
        <v>1</v>
      </c>
      <c r="K11" s="31">
        <v>501</v>
      </c>
      <c r="M11" s="23" t="str">
        <f>CONCATENATE(CI_AUSTRALIA!$P$1,E11,", '",F11,"', '",G11,"' , ",H11," , '",I11,"' , ",J11,",",K11)</f>
        <v>EXECUTE [dbo].[PG_CI_STATE_GEO] 0, 10, 139, 104, 'Nueva Gales del Sur', 'AU-NSW' , 1 , '#104 // Nueva Gales del Sur' , 1,501</v>
      </c>
      <c r="N11" s="11"/>
    </row>
    <row r="12" spans="1:16" s="10" customFormat="1" x14ac:dyDescent="0.25">
      <c r="A12" s="19">
        <f t="shared" si="1"/>
        <v>10</v>
      </c>
      <c r="B12" s="20">
        <v>0</v>
      </c>
      <c r="C12" s="20">
        <v>10</v>
      </c>
      <c r="D12" s="20">
        <v>139</v>
      </c>
      <c r="E12" s="35">
        <f t="shared" si="2"/>
        <v>105</v>
      </c>
      <c r="F12" s="21" t="s">
        <v>312</v>
      </c>
      <c r="G12" s="22" t="s">
        <v>313</v>
      </c>
      <c r="H12" s="25">
        <v>1</v>
      </c>
      <c r="I12" s="33" t="str">
        <f t="shared" si="0"/>
        <v>#105 // Queensland</v>
      </c>
      <c r="J12" s="25">
        <v>1</v>
      </c>
      <c r="K12" s="31">
        <v>501</v>
      </c>
      <c r="M12" s="23" t="str">
        <f>CONCATENATE(CI_AUSTRALIA!$P$1,E12,", '",F12,"', '",G12,"' , ",H12," , '",I12,"' , ",J12,",",K12)</f>
        <v>EXECUTE [dbo].[PG_CI_STATE_GEO] 0, 10, 139, 105, 'Queensland', 'AU-QLD' , 1 , '#105 // Queensland' , 1,501</v>
      </c>
      <c r="N12" s="11"/>
    </row>
    <row r="13" spans="1:16" s="10" customFormat="1" x14ac:dyDescent="0.25">
      <c r="A13" s="19">
        <f t="shared" si="1"/>
        <v>11</v>
      </c>
      <c r="B13" s="20">
        <v>0</v>
      </c>
      <c r="C13" s="20">
        <v>10</v>
      </c>
      <c r="D13" s="20">
        <v>139</v>
      </c>
      <c r="E13" s="35">
        <f t="shared" si="2"/>
        <v>106</v>
      </c>
      <c r="F13" s="21" t="s">
        <v>316</v>
      </c>
      <c r="G13" s="22" t="s">
        <v>317</v>
      </c>
      <c r="H13" s="25">
        <v>1</v>
      </c>
      <c r="I13" s="33" t="str">
        <f t="shared" si="0"/>
        <v>#106 // Tasmania</v>
      </c>
      <c r="J13" s="25">
        <v>1</v>
      </c>
      <c r="K13" s="31">
        <v>501</v>
      </c>
      <c r="M13" s="23" t="str">
        <f>CONCATENATE(CI_AUSTRALIA!$P$1,E13,", '",F13,"', '",G13,"' , ",H13," , '",I13,"' , ",J13,",",K13)</f>
        <v>EXECUTE [dbo].[PG_CI_STATE_GEO] 0, 10, 139, 106, 'Tasmania', 'AU-TAS' , 1 , '#106 // Tasmania' , 1,501</v>
      </c>
      <c r="N13" s="11"/>
    </row>
    <row r="14" spans="1:16" s="10" customFormat="1" x14ac:dyDescent="0.25">
      <c r="A14" s="19">
        <f t="shared" si="1"/>
        <v>12</v>
      </c>
      <c r="B14" s="20">
        <v>0</v>
      </c>
      <c r="C14" s="20">
        <v>10</v>
      </c>
      <c r="D14" s="20">
        <v>139</v>
      </c>
      <c r="E14" s="35">
        <f t="shared" si="2"/>
        <v>107</v>
      </c>
      <c r="F14" s="21" t="s">
        <v>294</v>
      </c>
      <c r="G14" s="22" t="s">
        <v>321</v>
      </c>
      <c r="H14" s="25">
        <v>1</v>
      </c>
      <c r="I14" s="33" t="str">
        <f t="shared" si="0"/>
        <v>#107 // Territorio Antártico Australiano</v>
      </c>
      <c r="J14" s="25">
        <v>0</v>
      </c>
      <c r="K14" s="31">
        <v>501</v>
      </c>
      <c r="M14" s="23" t="str">
        <f>CONCATENATE(CI_AUSTRALIA!$P$1,E14,", '",F14,"', '",G14,"' , ",H14," , '",I14,"' , ",J14,",",K14)</f>
        <v>EXECUTE [dbo].[PG_CI_STATE_GEO] 0, 10, 139, 107, 'Territorio Antártico Australiano', 'AQ' , 1 , '#107 // Territorio Antártico Australiano' , 0,501</v>
      </c>
      <c r="N14" s="11"/>
    </row>
    <row r="15" spans="1:16" s="10" customFormat="1" x14ac:dyDescent="0.25">
      <c r="A15" s="19">
        <f t="shared" si="1"/>
        <v>13</v>
      </c>
      <c r="B15" s="20">
        <v>0</v>
      </c>
      <c r="C15" s="20">
        <v>10</v>
      </c>
      <c r="D15" s="20">
        <v>139</v>
      </c>
      <c r="E15" s="35">
        <f t="shared" si="2"/>
        <v>108</v>
      </c>
      <c r="F15" s="21" t="s">
        <v>304</v>
      </c>
      <c r="G15" s="22" t="s">
        <v>305</v>
      </c>
      <c r="H15" s="25">
        <v>1</v>
      </c>
      <c r="I15" s="33" t="str">
        <f t="shared" si="0"/>
        <v>#108 // Territorio de la Bahía de Jervis</v>
      </c>
      <c r="J15" s="25">
        <v>0</v>
      </c>
      <c r="K15" s="31">
        <v>501</v>
      </c>
      <c r="M15" s="23" t="str">
        <f>CONCATENATE(CI_AUSTRALIA!$P$1,E15,", '",F15,"', '",G15,"' , ",H15," , '",I15,"' , ",J15,",",K15)</f>
        <v>EXECUTE [dbo].[PG_CI_STATE_GEO] 0, 10, 139, 108, 'Territorio de la Bahía de Jervis', 'JBT' , 1 , '#108 // Territorio de la Bahía de Jervis' , 0,501</v>
      </c>
      <c r="N15" s="11"/>
    </row>
    <row r="16" spans="1:16" s="10" customFormat="1" x14ac:dyDescent="0.25">
      <c r="A16" s="19">
        <f t="shared" ref="A16:A18" si="3">+A15+1</f>
        <v>14</v>
      </c>
      <c r="B16" s="20">
        <v>0</v>
      </c>
      <c r="C16" s="20">
        <v>10</v>
      </c>
      <c r="D16" s="20">
        <v>139</v>
      </c>
      <c r="E16" s="35">
        <f t="shared" ref="E16:E18" si="4">+E15+1</f>
        <v>109</v>
      </c>
      <c r="F16" s="21" t="s">
        <v>295</v>
      </c>
      <c r="G16" s="22" t="s">
        <v>296</v>
      </c>
      <c r="H16" s="25">
        <v>1</v>
      </c>
      <c r="I16" s="33" t="str">
        <f t="shared" ref="I16:I18" si="5">CONCATENATE("#",E16," // ",F16)</f>
        <v>#109 // Territorio de la Capital Australiana</v>
      </c>
      <c r="J16" s="25">
        <v>0</v>
      </c>
      <c r="K16" s="31">
        <v>501</v>
      </c>
      <c r="M16" s="23" t="str">
        <f>CONCATENATE(CI_AUSTRALIA!$P$1,E16,", '",F16,"', '",G16,"' , ",H16," , '",I16,"' , ",J16,",",K16)</f>
        <v>EXECUTE [dbo].[PG_CI_STATE_GEO] 0, 10, 139, 109, 'Territorio de la Capital Australiana', 'AU-ACT' , 1 , '#109 // Territorio de la Capital Australiana' , 0,501</v>
      </c>
      <c r="N16" s="11"/>
    </row>
    <row r="17" spans="1:14" s="10" customFormat="1" x14ac:dyDescent="0.25">
      <c r="A17" s="19">
        <f t="shared" si="3"/>
        <v>15</v>
      </c>
      <c r="B17" s="20">
        <v>0</v>
      </c>
      <c r="C17" s="20">
        <v>10</v>
      </c>
      <c r="D17" s="20">
        <v>139</v>
      </c>
      <c r="E17" s="35">
        <f t="shared" si="4"/>
        <v>110</v>
      </c>
      <c r="F17" s="21" t="s">
        <v>310</v>
      </c>
      <c r="G17" s="22" t="s">
        <v>311</v>
      </c>
      <c r="H17" s="25">
        <v>1</v>
      </c>
      <c r="I17" s="33" t="str">
        <f t="shared" si="5"/>
        <v>#110 // Territorio del Norte</v>
      </c>
      <c r="J17" s="25">
        <v>0</v>
      </c>
      <c r="K17" s="31">
        <v>501</v>
      </c>
      <c r="M17" s="23" t="str">
        <f>CONCATENATE(CI_AUSTRALIA!$P$1,E17,", '",F17,"', '",G17,"' , ",H17," , '",I17,"' , ",J17,",",K17)</f>
        <v>EXECUTE [dbo].[PG_CI_STATE_GEO] 0, 10, 139, 110, 'Territorio del Norte', 'AU-NT' , 1 , '#110 // Territorio del Norte' , 0,501</v>
      </c>
      <c r="N17" s="11"/>
    </row>
    <row r="18" spans="1:14" s="10" customFormat="1" x14ac:dyDescent="0.25">
      <c r="A18" s="19">
        <f t="shared" si="3"/>
        <v>16</v>
      </c>
      <c r="B18" s="20">
        <v>0</v>
      </c>
      <c r="C18" s="20">
        <v>10</v>
      </c>
      <c r="D18" s="20">
        <v>139</v>
      </c>
      <c r="E18" s="35">
        <f t="shared" si="4"/>
        <v>111</v>
      </c>
      <c r="F18" s="21" t="s">
        <v>196</v>
      </c>
      <c r="G18" s="22" t="s">
        <v>318</v>
      </c>
      <c r="H18" s="25">
        <v>1</v>
      </c>
      <c r="I18" s="33" t="str">
        <f t="shared" si="5"/>
        <v>#111 // Victoria</v>
      </c>
      <c r="J18" s="25">
        <v>1</v>
      </c>
      <c r="K18" s="31">
        <v>501</v>
      </c>
      <c r="M18" s="23" t="str">
        <f>CONCATENATE(CI_AUSTRALIA!$P$1,E18,", '",F18,"', '",G18,"' , ",H18," , '",I18,"' , ",J18,",",K18)</f>
        <v>EXECUTE [dbo].[PG_CI_STATE_GEO] 0, 10, 139, 111, 'Victoria', 'AU-VIC' , 1 , '#111 // Victoria' , 1,501</v>
      </c>
      <c r="N18" s="11"/>
    </row>
    <row r="19" spans="1:14" s="10" customFormat="1" x14ac:dyDescent="0.25">
      <c r="A19" s="19"/>
      <c r="B19" s="20"/>
      <c r="C19" s="20"/>
      <c r="D19" s="20"/>
      <c r="E19" s="27"/>
      <c r="F19" s="21"/>
      <c r="G19" s="22"/>
      <c r="H19" s="25"/>
      <c r="I19" s="33"/>
      <c r="J19" s="25"/>
      <c r="K19" s="31"/>
      <c r="M19" s="23"/>
      <c r="N19" s="11"/>
    </row>
    <row r="20" spans="1:14" s="10" customFormat="1" x14ac:dyDescent="0.25">
      <c r="A20" s="19"/>
      <c r="B20" s="20"/>
      <c r="C20" s="20"/>
      <c r="D20" s="20"/>
      <c r="E20" s="27"/>
      <c r="F20" s="21"/>
      <c r="G20" s="22"/>
      <c r="H20" s="25"/>
      <c r="I20" s="33"/>
      <c r="J20" s="25"/>
      <c r="K20" s="31"/>
      <c r="M20" s="23"/>
      <c r="N20" s="11"/>
    </row>
    <row r="21" spans="1:14" s="10" customFormat="1" x14ac:dyDescent="0.25">
      <c r="A21" s="19"/>
      <c r="B21" s="20"/>
      <c r="C21" s="20"/>
      <c r="D21" s="20"/>
      <c r="E21" s="27"/>
      <c r="F21" s="21"/>
      <c r="G21" s="22"/>
      <c r="H21" s="25"/>
      <c r="I21" s="33"/>
      <c r="J21" s="25"/>
      <c r="K21" s="31"/>
      <c r="M21" s="23"/>
      <c r="N21" s="11"/>
    </row>
    <row r="22" spans="1:14" s="10" customFormat="1" x14ac:dyDescent="0.25">
      <c r="A22" s="19"/>
      <c r="B22" s="20"/>
      <c r="C22" s="20"/>
      <c r="D22" s="20"/>
      <c r="E22" s="27"/>
      <c r="F22" s="21"/>
      <c r="G22" s="22"/>
      <c r="H22" s="25"/>
      <c r="I22" s="33"/>
      <c r="J22" s="25"/>
      <c r="K22" s="31"/>
      <c r="M22" s="23"/>
      <c r="N22" s="11"/>
    </row>
    <row r="23" spans="1:14" s="10" customFormat="1" x14ac:dyDescent="0.25">
      <c r="A23" s="19"/>
      <c r="B23" s="20"/>
      <c r="C23" s="20"/>
      <c r="D23" s="20"/>
      <c r="E23" s="27"/>
      <c r="F23" s="21"/>
      <c r="G23" s="22"/>
      <c r="H23" s="25"/>
      <c r="I23" s="33"/>
      <c r="J23" s="25"/>
      <c r="K23" s="31"/>
      <c r="M23" s="23"/>
      <c r="N23" s="11"/>
    </row>
    <row r="24" spans="1:14" s="10" customFormat="1" x14ac:dyDescent="0.25">
      <c r="A24" s="19"/>
      <c r="B24" s="20"/>
      <c r="C24" s="20"/>
      <c r="D24" s="20"/>
      <c r="E24" s="27"/>
      <c r="F24" s="21"/>
      <c r="G24" s="22"/>
      <c r="H24" s="25"/>
      <c r="I24" s="33"/>
      <c r="J24" s="25"/>
      <c r="K24" s="31"/>
      <c r="M24" s="23"/>
      <c r="N24" s="11"/>
    </row>
    <row r="25" spans="1:14" s="10" customFormat="1" x14ac:dyDescent="0.25">
      <c r="A25" s="19"/>
      <c r="B25" s="20"/>
      <c r="C25" s="20"/>
      <c r="D25" s="20"/>
      <c r="E25" s="27"/>
      <c r="F25" s="21"/>
      <c r="G25" s="22"/>
      <c r="H25" s="25"/>
      <c r="I25" s="33"/>
      <c r="J25" s="25"/>
      <c r="K25" s="31"/>
      <c r="M25" s="23"/>
      <c r="N25" s="11"/>
    </row>
    <row r="26" spans="1:14" s="10" customFormat="1" x14ac:dyDescent="0.25">
      <c r="A26" s="19"/>
      <c r="B26" s="20"/>
      <c r="C26" s="20"/>
      <c r="D26" s="20"/>
      <c r="E26" s="27"/>
      <c r="F26" s="21"/>
      <c r="G26" s="22"/>
      <c r="H26" s="25"/>
      <c r="I26" s="33"/>
      <c r="J26" s="25"/>
      <c r="K26" s="31"/>
      <c r="M26" s="23"/>
      <c r="N26" s="11"/>
    </row>
    <row r="27" spans="1:14" s="10" customFormat="1" x14ac:dyDescent="0.25">
      <c r="A27" s="19"/>
      <c r="B27" s="20"/>
      <c r="C27" s="20"/>
      <c r="D27" s="20"/>
      <c r="E27" s="27"/>
      <c r="F27" s="21"/>
      <c r="G27" s="22"/>
      <c r="H27" s="25"/>
      <c r="I27" s="33"/>
      <c r="J27" s="25"/>
      <c r="K27" s="31"/>
      <c r="M27" s="23"/>
      <c r="N27" s="11"/>
    </row>
    <row r="28" spans="1:14" s="10" customFormat="1" x14ac:dyDescent="0.25">
      <c r="A28" s="19"/>
      <c r="B28" s="20"/>
      <c r="C28" s="20"/>
      <c r="D28" s="20"/>
      <c r="E28" s="27"/>
      <c r="F28" s="21"/>
      <c r="G28" s="22"/>
      <c r="H28" s="25"/>
      <c r="I28" s="33"/>
      <c r="J28" s="25"/>
      <c r="K28" s="31"/>
      <c r="M28" s="23"/>
      <c r="N28" s="11"/>
    </row>
    <row r="29" spans="1:14" s="10" customFormat="1" x14ac:dyDescent="0.25">
      <c r="A29" s="19"/>
      <c r="B29" s="20"/>
      <c r="C29" s="20"/>
      <c r="D29" s="20"/>
      <c r="E29" s="27"/>
      <c r="F29" s="21"/>
      <c r="G29" s="22"/>
      <c r="H29" s="25"/>
      <c r="I29" s="33"/>
      <c r="J29" s="25"/>
      <c r="K29" s="31"/>
      <c r="M29" s="23"/>
      <c r="N29" s="11"/>
    </row>
    <row r="30" spans="1:14" s="10" customFormat="1" x14ac:dyDescent="0.25">
      <c r="A30" s="19"/>
      <c r="B30" s="20"/>
      <c r="C30" s="20"/>
      <c r="D30" s="20"/>
      <c r="E30" s="27" t="s">
        <v>88</v>
      </c>
      <c r="F30" s="21"/>
      <c r="G30" s="22"/>
      <c r="H30" s="25"/>
      <c r="I30" s="33"/>
      <c r="J30" s="25"/>
      <c r="K30" s="31"/>
      <c r="M30" s="23"/>
      <c r="N30" s="11"/>
    </row>
    <row r="31" spans="1:14" s="10" customFormat="1" x14ac:dyDescent="0.25">
      <c r="A31" s="19"/>
      <c r="B31" s="20"/>
      <c r="C31" s="20"/>
      <c r="D31" s="20"/>
      <c r="E31" s="27"/>
      <c r="F31" s="21"/>
      <c r="G31" s="22"/>
      <c r="H31" s="25"/>
      <c r="I31" s="33"/>
      <c r="J31" s="25"/>
      <c r="K31" s="31"/>
      <c r="M31" s="23"/>
      <c r="N31" s="11"/>
    </row>
    <row r="32" spans="1:14" s="10" customFormat="1" x14ac:dyDescent="0.25">
      <c r="A32" s="19"/>
      <c r="B32" s="20"/>
      <c r="C32" s="20"/>
      <c r="D32" s="20"/>
      <c r="E32" s="27"/>
      <c r="F32" s="21"/>
      <c r="G32" s="22"/>
      <c r="H32" s="25"/>
      <c r="I32" s="33"/>
      <c r="J32" s="25"/>
      <c r="K32" s="31"/>
      <c r="M32" s="23"/>
      <c r="N32" s="11"/>
    </row>
    <row r="33" spans="1:14" s="10" customFormat="1" x14ac:dyDescent="0.25">
      <c r="A33" s="19"/>
      <c r="B33" s="20"/>
      <c r="C33" s="20"/>
      <c r="D33" s="20"/>
      <c r="E33" s="27"/>
      <c r="F33" s="21"/>
      <c r="G33" s="22"/>
      <c r="H33" s="25"/>
      <c r="I33" s="33"/>
      <c r="J33" s="25"/>
      <c r="K33" s="31"/>
      <c r="M33" s="23"/>
      <c r="N33" s="11"/>
    </row>
    <row r="34" spans="1:14" s="10" customFormat="1" x14ac:dyDescent="0.25">
      <c r="A34" s="19"/>
      <c r="B34" s="20"/>
      <c r="C34" s="20"/>
      <c r="D34" s="20"/>
      <c r="E34" s="27"/>
      <c r="F34" s="21"/>
      <c r="G34" s="22"/>
      <c r="H34" s="25"/>
      <c r="I34" s="33"/>
      <c r="J34" s="25"/>
      <c r="K34" s="31"/>
      <c r="M34" s="23"/>
      <c r="N34" s="11"/>
    </row>
    <row r="35" spans="1:14" s="10" customFormat="1" x14ac:dyDescent="0.25">
      <c r="A35" s="19"/>
      <c r="B35" s="20"/>
      <c r="C35" s="20"/>
      <c r="D35" s="20"/>
      <c r="E35" s="27"/>
      <c r="F35" s="21"/>
      <c r="G35" s="22"/>
      <c r="H35" s="25"/>
      <c r="I35" s="33"/>
      <c r="J35" s="25"/>
      <c r="K35" s="31"/>
      <c r="M35" s="23"/>
      <c r="N35" s="11"/>
    </row>
    <row r="36" spans="1:14" s="10" customFormat="1" x14ac:dyDescent="0.25">
      <c r="A36" s="19"/>
      <c r="B36" s="20"/>
      <c r="C36" s="20"/>
      <c r="D36" s="20"/>
      <c r="E36" s="27"/>
      <c r="F36" s="21"/>
      <c r="G36" s="22"/>
      <c r="H36" s="25"/>
      <c r="I36" s="33"/>
      <c r="J36" s="25"/>
      <c r="K36" s="31"/>
      <c r="M36" s="23"/>
      <c r="N36" s="11"/>
    </row>
    <row r="37" spans="1:14" s="10" customFormat="1" x14ac:dyDescent="0.25">
      <c r="A37" s="19"/>
      <c r="B37" s="20"/>
      <c r="C37" s="20"/>
      <c r="D37" s="20"/>
      <c r="E37" s="27"/>
      <c r="F37" s="21"/>
      <c r="G37" s="22"/>
      <c r="H37" s="25"/>
      <c r="I37" s="33"/>
      <c r="J37" s="25"/>
      <c r="K37" s="31"/>
      <c r="M37" s="23"/>
      <c r="N37" s="11"/>
    </row>
    <row r="38" spans="1:14" s="10" customFormat="1" x14ac:dyDescent="0.25">
      <c r="A38" s="19"/>
      <c r="B38" s="20"/>
      <c r="C38" s="20"/>
      <c r="D38" s="20"/>
      <c r="E38" s="27"/>
      <c r="F38" s="21"/>
      <c r="G38" s="22"/>
      <c r="H38" s="25"/>
      <c r="I38" s="33"/>
      <c r="J38" s="25"/>
      <c r="K38" s="31"/>
      <c r="M38" s="23"/>
      <c r="N38" s="11"/>
    </row>
    <row r="39" spans="1:14" s="10" customFormat="1" x14ac:dyDescent="0.25">
      <c r="A39" s="19"/>
      <c r="B39" s="20"/>
      <c r="C39" s="20"/>
      <c r="D39" s="20"/>
      <c r="E39" s="27"/>
      <c r="F39" s="21"/>
      <c r="G39" s="22"/>
      <c r="H39" s="25"/>
      <c r="I39" s="33"/>
      <c r="J39" s="25"/>
      <c r="K39" s="31"/>
      <c r="M39" s="23"/>
      <c r="N39" s="11"/>
    </row>
    <row r="40" spans="1:14" s="10" customFormat="1" x14ac:dyDescent="0.25">
      <c r="A40" s="19"/>
      <c r="B40" s="20"/>
      <c r="C40" s="20"/>
      <c r="D40" s="20"/>
      <c r="E40" s="27"/>
      <c r="F40" s="21"/>
      <c r="G40" s="22"/>
      <c r="H40" s="25"/>
      <c r="I40" s="33"/>
      <c r="J40" s="25"/>
      <c r="K40" s="31"/>
      <c r="M40" s="23"/>
      <c r="N40" s="11"/>
    </row>
    <row r="41" spans="1:14" s="10" customFormat="1" x14ac:dyDescent="0.25">
      <c r="A41" s="19"/>
      <c r="B41" s="20"/>
      <c r="C41" s="20"/>
      <c r="D41" s="20"/>
      <c r="E41" s="27"/>
      <c r="F41" s="21"/>
      <c r="G41" s="22"/>
      <c r="H41" s="25"/>
      <c r="I41" s="33"/>
      <c r="J41" s="25"/>
      <c r="K41" s="31"/>
      <c r="M41" s="23"/>
      <c r="N41" s="11"/>
    </row>
    <row r="42" spans="1:14" s="10" customFormat="1" x14ac:dyDescent="0.25">
      <c r="A42" s="19"/>
      <c r="B42" s="20"/>
      <c r="C42" s="20"/>
      <c r="D42" s="20"/>
      <c r="E42" s="27"/>
      <c r="F42" s="21"/>
      <c r="G42" s="22"/>
      <c r="H42" s="25"/>
      <c r="I42" s="33"/>
      <c r="J42" s="25"/>
      <c r="K42" s="31"/>
      <c r="M42" s="23"/>
      <c r="N42" s="11"/>
    </row>
    <row r="43" spans="1:14" s="10" customFormat="1" x14ac:dyDescent="0.25">
      <c r="A43" s="19"/>
      <c r="B43" s="20"/>
      <c r="C43" s="20"/>
      <c r="D43" s="20"/>
      <c r="E43" s="27"/>
      <c r="F43" s="21"/>
      <c r="G43" s="22"/>
      <c r="H43" s="25"/>
      <c r="I43" s="33"/>
      <c r="J43" s="25"/>
      <c r="K43" s="31"/>
      <c r="M43" s="23"/>
      <c r="N43" s="11"/>
    </row>
    <row r="44" spans="1:14" s="10" customFormat="1" x14ac:dyDescent="0.25">
      <c r="A44" s="19"/>
      <c r="B44" s="20"/>
      <c r="C44" s="20"/>
      <c r="D44" s="20"/>
      <c r="E44" s="27"/>
      <c r="F44" s="21"/>
      <c r="G44" s="22"/>
      <c r="H44" s="25"/>
      <c r="I44" s="33"/>
      <c r="J44" s="25"/>
      <c r="K44" s="31"/>
      <c r="M44" s="23"/>
      <c r="N44" s="11"/>
    </row>
    <row r="45" spans="1:14" s="10" customFormat="1" x14ac:dyDescent="0.25">
      <c r="A45" s="19"/>
      <c r="B45" s="20"/>
      <c r="C45" s="20"/>
      <c r="D45" s="20"/>
      <c r="E45" s="27"/>
      <c r="F45" s="21"/>
      <c r="G45" s="22"/>
      <c r="H45" s="25"/>
      <c r="I45" s="33"/>
      <c r="J45" s="25"/>
      <c r="K45" s="31"/>
      <c r="M45" s="23"/>
      <c r="N45" s="11"/>
    </row>
    <row r="46" spans="1:14" s="10" customFormat="1" x14ac:dyDescent="0.25">
      <c r="A46" s="19"/>
      <c r="B46" s="20"/>
      <c r="C46" s="20"/>
      <c r="D46" s="20"/>
      <c r="E46" s="27"/>
      <c r="F46" s="21"/>
      <c r="G46" s="22"/>
      <c r="H46" s="25"/>
      <c r="I46" s="33"/>
      <c r="J46" s="25"/>
      <c r="K46" s="31"/>
      <c r="M46" s="23"/>
      <c r="N46" s="11"/>
    </row>
    <row r="47" spans="1:14" s="10" customFormat="1" x14ac:dyDescent="0.25">
      <c r="A47" s="19"/>
      <c r="B47" s="20"/>
      <c r="C47" s="20"/>
      <c r="D47" s="20"/>
      <c r="E47" s="27"/>
      <c r="F47" s="21"/>
      <c r="G47" s="22"/>
      <c r="H47" s="25"/>
      <c r="I47" s="33"/>
      <c r="J47" s="25"/>
      <c r="K47" s="31"/>
      <c r="M47" s="23"/>
      <c r="N47" s="11"/>
    </row>
    <row r="48" spans="1:14" s="10" customFormat="1" x14ac:dyDescent="0.25">
      <c r="A48" s="19"/>
      <c r="B48" s="20"/>
      <c r="C48" s="20"/>
      <c r="D48" s="20"/>
      <c r="E48" s="27"/>
      <c r="F48" s="21"/>
      <c r="G48" s="22"/>
      <c r="H48" s="25"/>
      <c r="I48" s="33"/>
      <c r="J48" s="25"/>
      <c r="K48" s="31"/>
      <c r="M48" s="23"/>
      <c r="N48" s="11"/>
    </row>
    <row r="49" spans="1:14" s="10" customFormat="1" x14ac:dyDescent="0.25">
      <c r="A49" s="19"/>
      <c r="B49" s="20"/>
      <c r="C49" s="20"/>
      <c r="D49" s="20"/>
      <c r="E49" s="27"/>
      <c r="F49" s="21"/>
      <c r="G49" s="22"/>
      <c r="H49" s="25"/>
      <c r="I49" s="33"/>
      <c r="J49" s="25"/>
      <c r="K49" s="31"/>
      <c r="M49" s="23"/>
      <c r="N49" s="11"/>
    </row>
    <row r="50" spans="1:14" s="10" customFormat="1" x14ac:dyDescent="0.25">
      <c r="A50" s="19"/>
      <c r="B50" s="20"/>
      <c r="C50" s="20"/>
      <c r="D50" s="20"/>
      <c r="E50" s="27"/>
      <c r="F50" s="21"/>
      <c r="G50" s="22"/>
      <c r="H50" s="25"/>
      <c r="I50" s="33"/>
      <c r="J50" s="25"/>
      <c r="K50" s="31"/>
      <c r="M50" s="23"/>
      <c r="N50" s="11"/>
    </row>
    <row r="51" spans="1:14" s="10" customFormat="1" x14ac:dyDescent="0.25">
      <c r="A51" s="19"/>
      <c r="B51" s="20"/>
      <c r="C51" s="20"/>
      <c r="D51" s="20"/>
      <c r="E51" s="27"/>
      <c r="F51" s="21"/>
      <c r="G51" s="22"/>
      <c r="H51" s="25"/>
      <c r="I51" s="33"/>
      <c r="J51" s="25"/>
      <c r="K51" s="31"/>
      <c r="M51" s="23"/>
      <c r="N51" s="11"/>
    </row>
    <row r="52" spans="1:14" s="10" customFormat="1" x14ac:dyDescent="0.25">
      <c r="A52" s="19"/>
      <c r="B52" s="20"/>
      <c r="C52" s="20"/>
      <c r="D52" s="20"/>
      <c r="E52" s="27"/>
      <c r="F52" s="21"/>
      <c r="G52" s="22"/>
      <c r="H52" s="25"/>
      <c r="I52" s="33"/>
      <c r="J52" s="25"/>
      <c r="K52" s="31"/>
      <c r="M52" s="23"/>
      <c r="N52" s="11"/>
    </row>
    <row r="53" spans="1:14" s="10" customFormat="1" x14ac:dyDescent="0.25">
      <c r="A53" s="19"/>
      <c r="B53" s="20"/>
      <c r="C53" s="20"/>
      <c r="D53" s="20"/>
      <c r="E53" s="27"/>
      <c r="F53" s="21"/>
      <c r="G53" s="22"/>
      <c r="H53" s="25"/>
      <c r="I53" s="33"/>
      <c r="J53" s="25"/>
      <c r="K53" s="31"/>
      <c r="M53" s="23"/>
      <c r="N53" s="11"/>
    </row>
    <row r="54" spans="1:14" s="10" customFormat="1" x14ac:dyDescent="0.25">
      <c r="A54" s="19"/>
      <c r="B54" s="20"/>
      <c r="C54" s="20"/>
      <c r="D54" s="20"/>
      <c r="E54" s="27"/>
      <c r="F54" s="21"/>
      <c r="G54" s="22"/>
      <c r="H54" s="25"/>
      <c r="I54" s="33"/>
      <c r="J54" s="25"/>
      <c r="K54" s="31"/>
      <c r="M54" s="23"/>
      <c r="N54" s="11"/>
    </row>
    <row r="55" spans="1:14" s="10" customFormat="1" x14ac:dyDescent="0.25">
      <c r="A55" s="19"/>
      <c r="B55" s="20"/>
      <c r="C55" s="20"/>
      <c r="D55" s="20"/>
      <c r="E55" s="27"/>
      <c r="F55" s="21"/>
      <c r="G55" s="22"/>
      <c r="H55" s="25"/>
      <c r="I55" s="33"/>
      <c r="J55" s="25"/>
      <c r="K55" s="31"/>
      <c r="M55" s="23"/>
      <c r="N55" s="11"/>
    </row>
    <row r="56" spans="1:14" s="10" customFormat="1" x14ac:dyDescent="0.25">
      <c r="A56" s="19"/>
      <c r="B56" s="20"/>
      <c r="C56" s="20"/>
      <c r="D56" s="20"/>
      <c r="E56" s="27"/>
      <c r="F56" s="21"/>
      <c r="G56" s="22"/>
      <c r="H56" s="25"/>
      <c r="I56" s="33"/>
      <c r="J56" s="25"/>
      <c r="K56" s="31"/>
      <c r="M56" s="23"/>
      <c r="N56" s="11"/>
    </row>
    <row r="57" spans="1:14" s="10" customFormat="1" x14ac:dyDescent="0.25">
      <c r="A57" s="19"/>
      <c r="B57" s="20"/>
      <c r="C57" s="20"/>
      <c r="D57" s="20"/>
      <c r="E57" s="27"/>
      <c r="F57" s="21"/>
      <c r="G57" s="22"/>
      <c r="H57" s="25"/>
      <c r="I57" s="33"/>
      <c r="J57" s="25"/>
      <c r="K57" s="31"/>
      <c r="M57" s="23"/>
      <c r="N57" s="11"/>
    </row>
    <row r="58" spans="1:14" s="10" customFormat="1" x14ac:dyDescent="0.25">
      <c r="A58" s="19"/>
      <c r="B58" s="20"/>
      <c r="C58" s="20"/>
      <c r="D58" s="20"/>
      <c r="E58" s="27"/>
      <c r="F58" s="21"/>
      <c r="G58" s="22"/>
      <c r="H58" s="25"/>
      <c r="I58" s="33"/>
      <c r="J58" s="25"/>
      <c r="K58" s="31"/>
      <c r="M58" s="23"/>
      <c r="N58" s="11"/>
    </row>
    <row r="59" spans="1:14" s="10" customFormat="1" x14ac:dyDescent="0.25">
      <c r="A59" s="19"/>
      <c r="B59" s="20"/>
      <c r="C59" s="20"/>
      <c r="D59" s="20"/>
      <c r="E59" s="27"/>
      <c r="F59" s="21"/>
      <c r="G59" s="22"/>
      <c r="H59" s="25"/>
      <c r="I59" s="33"/>
      <c r="J59" s="25"/>
      <c r="K59" s="31"/>
      <c r="M59" s="23"/>
      <c r="N59" s="11"/>
    </row>
    <row r="60" spans="1:14" s="10" customFormat="1" x14ac:dyDescent="0.25">
      <c r="A60" s="19"/>
      <c r="B60" s="20"/>
      <c r="C60" s="20"/>
      <c r="D60" s="20"/>
      <c r="E60" s="27"/>
      <c r="F60" s="21"/>
      <c r="G60" s="22"/>
      <c r="H60" s="25"/>
      <c r="I60" s="33"/>
      <c r="J60" s="25"/>
      <c r="K60" s="31"/>
      <c r="M60" s="23"/>
      <c r="N60" s="11"/>
    </row>
    <row r="61" spans="1:14" s="10" customFormat="1" x14ac:dyDescent="0.25">
      <c r="A61" s="19"/>
      <c r="B61" s="20"/>
      <c r="C61" s="20"/>
      <c r="D61" s="20"/>
      <c r="E61" s="27"/>
      <c r="F61" s="21"/>
      <c r="G61" s="22"/>
      <c r="H61" s="25"/>
      <c r="I61" s="33"/>
      <c r="J61" s="25"/>
      <c r="K61" s="31"/>
      <c r="M61" s="23"/>
      <c r="N61" s="11"/>
    </row>
    <row r="62" spans="1:14" s="10" customFormat="1" x14ac:dyDescent="0.25">
      <c r="A62" s="19"/>
      <c r="B62" s="20"/>
      <c r="C62" s="20"/>
      <c r="D62" s="20"/>
      <c r="E62" s="27"/>
      <c r="F62" s="21"/>
      <c r="G62" s="22"/>
      <c r="H62" s="25"/>
      <c r="I62" s="33"/>
      <c r="J62" s="25"/>
      <c r="K62" s="31"/>
      <c r="M62" s="23"/>
      <c r="N62" s="11"/>
    </row>
    <row r="63" spans="1:14" s="10" customFormat="1" x14ac:dyDescent="0.25">
      <c r="A63" s="19"/>
      <c r="B63" s="20"/>
      <c r="C63" s="20"/>
      <c r="D63" s="20"/>
      <c r="E63" s="27"/>
      <c r="F63" s="21"/>
      <c r="G63" s="22"/>
      <c r="H63" s="25"/>
      <c r="I63" s="33"/>
      <c r="J63" s="25"/>
      <c r="K63" s="31"/>
      <c r="M63" s="23"/>
      <c r="N63" s="11"/>
    </row>
    <row r="64" spans="1:14" s="10" customFormat="1" x14ac:dyDescent="0.25">
      <c r="A64" s="19"/>
      <c r="B64" s="20"/>
      <c r="C64" s="20"/>
      <c r="D64" s="20"/>
      <c r="E64" s="27"/>
      <c r="F64" s="21"/>
      <c r="G64" s="22"/>
      <c r="H64" s="25"/>
      <c r="I64" s="33"/>
      <c r="J64" s="25"/>
      <c r="K64" s="31"/>
      <c r="M64" s="23"/>
      <c r="N64" s="11"/>
    </row>
    <row r="65" spans="1:14" s="10" customFormat="1" x14ac:dyDescent="0.25">
      <c r="A65" s="19"/>
      <c r="B65" s="20"/>
      <c r="C65" s="20"/>
      <c r="D65" s="20"/>
      <c r="E65" s="27"/>
      <c r="F65" s="21"/>
      <c r="G65" s="22"/>
      <c r="H65" s="25"/>
      <c r="I65" s="33"/>
      <c r="J65" s="25"/>
      <c r="K65" s="31"/>
      <c r="M65" s="23"/>
      <c r="N65" s="11"/>
    </row>
    <row r="66" spans="1:14" s="10" customFormat="1" x14ac:dyDescent="0.25">
      <c r="A66" s="19"/>
      <c r="B66" s="20"/>
      <c r="C66" s="20"/>
      <c r="D66" s="20"/>
      <c r="E66" s="27"/>
      <c r="F66" s="21"/>
      <c r="G66" s="22"/>
      <c r="H66" s="25"/>
      <c r="I66" s="33"/>
      <c r="J66" s="25"/>
      <c r="K66" s="31"/>
      <c r="M66" s="23"/>
      <c r="N66" s="11"/>
    </row>
    <row r="67" spans="1:14" s="10" customFormat="1" x14ac:dyDescent="0.25">
      <c r="A67" s="19"/>
      <c r="B67" s="20"/>
      <c r="C67" s="20"/>
      <c r="D67" s="20"/>
      <c r="E67" s="27"/>
      <c r="F67" s="21"/>
      <c r="G67" s="22"/>
      <c r="H67" s="25"/>
      <c r="I67" s="33"/>
      <c r="J67" s="25"/>
      <c r="K67" s="31"/>
      <c r="M67" s="23"/>
      <c r="N67" s="11"/>
    </row>
    <row r="68" spans="1:14" s="10" customFormat="1" x14ac:dyDescent="0.25">
      <c r="A68" s="19"/>
      <c r="B68" s="20"/>
      <c r="C68" s="20"/>
      <c r="D68" s="20"/>
      <c r="E68" s="27"/>
      <c r="F68" s="21"/>
      <c r="G68" s="22"/>
      <c r="H68" s="25"/>
      <c r="I68" s="33"/>
      <c r="J68" s="25"/>
      <c r="K68" s="31"/>
      <c r="M68" s="23"/>
      <c r="N68" s="11"/>
    </row>
    <row r="69" spans="1:14" s="10" customFormat="1" x14ac:dyDescent="0.25">
      <c r="A69" s="19"/>
      <c r="B69" s="20"/>
      <c r="C69" s="20"/>
      <c r="D69" s="20"/>
      <c r="E69" s="27"/>
      <c r="F69" s="21"/>
      <c r="G69" s="22"/>
      <c r="H69" s="25"/>
      <c r="I69" s="33"/>
      <c r="J69" s="25"/>
      <c r="K69" s="31"/>
      <c r="M69" s="23"/>
      <c r="N69" s="11"/>
    </row>
    <row r="70" spans="1:14" s="10" customFormat="1" x14ac:dyDescent="0.25">
      <c r="A70" s="19"/>
      <c r="B70" s="20"/>
      <c r="C70" s="20"/>
      <c r="D70" s="20"/>
      <c r="E70" s="27"/>
      <c r="F70" s="21"/>
      <c r="G70" s="22"/>
      <c r="H70" s="25"/>
      <c r="I70" s="33"/>
      <c r="J70" s="25"/>
      <c r="K70" s="31"/>
      <c r="M70" s="23"/>
      <c r="N70" s="11"/>
    </row>
    <row r="71" spans="1:14" s="10" customFormat="1" x14ac:dyDescent="0.25">
      <c r="A71" s="19"/>
      <c r="B71" s="20"/>
      <c r="C71" s="20"/>
      <c r="D71" s="20"/>
      <c r="E71" s="27"/>
      <c r="F71" s="21"/>
      <c r="G71" s="22"/>
      <c r="H71" s="25"/>
      <c r="I71" s="33"/>
      <c r="J71" s="25"/>
      <c r="K71" s="31"/>
      <c r="M71" s="23"/>
      <c r="N71" s="11"/>
    </row>
    <row r="72" spans="1:14" s="10" customFormat="1" x14ac:dyDescent="0.25">
      <c r="A72" s="19"/>
      <c r="B72" s="20"/>
      <c r="C72" s="20"/>
      <c r="D72" s="20"/>
      <c r="E72" s="27"/>
      <c r="F72" s="21"/>
      <c r="G72" s="22"/>
      <c r="H72" s="25"/>
      <c r="I72" s="33"/>
      <c r="J72" s="25"/>
      <c r="K72" s="31"/>
      <c r="M72" s="23"/>
      <c r="N72" s="11"/>
    </row>
    <row r="73" spans="1:14" s="10" customFormat="1" x14ac:dyDescent="0.25">
      <c r="A73" s="19"/>
      <c r="B73" s="20"/>
      <c r="C73" s="20"/>
      <c r="D73" s="20"/>
      <c r="E73" s="27"/>
      <c r="F73" s="21"/>
      <c r="G73" s="22"/>
      <c r="H73" s="25"/>
      <c r="I73" s="33"/>
      <c r="J73" s="25"/>
      <c r="K73" s="31"/>
      <c r="M73" s="23"/>
      <c r="N73" s="11"/>
    </row>
    <row r="74" spans="1:14" s="10" customFormat="1" x14ac:dyDescent="0.25">
      <c r="A74" s="19"/>
      <c r="B74" s="20"/>
      <c r="C74" s="20"/>
      <c r="D74" s="20"/>
      <c r="E74" s="27"/>
      <c r="F74" s="21"/>
      <c r="G74" s="22"/>
      <c r="H74" s="25"/>
      <c r="I74" s="33"/>
      <c r="J74" s="25"/>
      <c r="K74" s="31"/>
      <c r="M74" s="23"/>
      <c r="N74" s="11"/>
    </row>
    <row r="75" spans="1:14" s="10" customFormat="1" x14ac:dyDescent="0.25">
      <c r="A75" s="19"/>
      <c r="B75" s="20"/>
      <c r="C75" s="20"/>
      <c r="D75" s="20"/>
      <c r="E75" s="27"/>
      <c r="F75" s="21"/>
      <c r="G75" s="22"/>
      <c r="H75" s="25"/>
      <c r="I75" s="33"/>
      <c r="J75" s="25"/>
      <c r="K75" s="31"/>
      <c r="M75" s="23"/>
      <c r="N75" s="11"/>
    </row>
    <row r="76" spans="1:14" s="10" customFormat="1" x14ac:dyDescent="0.25">
      <c r="A76" s="19"/>
      <c r="B76" s="20"/>
      <c r="C76" s="20"/>
      <c r="D76" s="20"/>
      <c r="E76" s="27"/>
      <c r="F76" s="21"/>
      <c r="G76" s="22"/>
      <c r="H76" s="25"/>
      <c r="I76" s="33"/>
      <c r="J76" s="25"/>
      <c r="K76" s="31"/>
      <c r="M76" s="23"/>
      <c r="N76" s="11"/>
    </row>
    <row r="77" spans="1:14" s="10" customFormat="1" x14ac:dyDescent="0.25">
      <c r="A77" s="19"/>
      <c r="B77" s="20"/>
      <c r="C77" s="20"/>
      <c r="D77" s="20"/>
      <c r="E77" s="27"/>
      <c r="F77" s="21"/>
      <c r="G77" s="22"/>
      <c r="H77" s="25"/>
      <c r="I77" s="33"/>
      <c r="J77" s="25"/>
      <c r="K77" s="31"/>
      <c r="M77" s="23"/>
      <c r="N77" s="11"/>
    </row>
    <row r="78" spans="1:14" s="10" customFormat="1" x14ac:dyDescent="0.25">
      <c r="A78" s="19"/>
      <c r="B78" s="20"/>
      <c r="C78" s="20"/>
      <c r="D78" s="20"/>
      <c r="E78" s="27"/>
      <c r="F78" s="21"/>
      <c r="G78" s="22"/>
      <c r="H78" s="25"/>
      <c r="I78" s="33"/>
      <c r="J78" s="25"/>
      <c r="K78" s="31"/>
      <c r="M78" s="23"/>
      <c r="N78" s="11"/>
    </row>
    <row r="79" spans="1:14" s="10" customFormat="1" x14ac:dyDescent="0.25">
      <c r="A79" s="19"/>
      <c r="B79" s="20"/>
      <c r="C79" s="20"/>
      <c r="D79" s="20"/>
      <c r="E79" s="27"/>
      <c r="F79" s="21"/>
      <c r="G79" s="22"/>
      <c r="H79" s="25"/>
      <c r="I79" s="33"/>
      <c r="J79" s="25"/>
      <c r="K79" s="31"/>
      <c r="M79" s="23"/>
      <c r="N79" s="11"/>
    </row>
    <row r="80" spans="1:14" s="10" customFormat="1" x14ac:dyDescent="0.25">
      <c r="A80" s="19"/>
      <c r="B80" s="20"/>
      <c r="C80" s="20"/>
      <c r="D80" s="20"/>
      <c r="E80" s="27"/>
      <c r="F80" s="21"/>
      <c r="G80" s="22"/>
      <c r="H80" s="25"/>
      <c r="I80" s="33"/>
      <c r="J80" s="25"/>
      <c r="K80" s="31"/>
      <c r="M80" s="23"/>
      <c r="N80" s="11"/>
    </row>
    <row r="81" spans="1:14" s="10" customFormat="1" x14ac:dyDescent="0.25">
      <c r="A81" s="19"/>
      <c r="B81" s="20"/>
      <c r="C81" s="20"/>
      <c r="D81" s="20"/>
      <c r="E81" s="27"/>
      <c r="F81" s="21"/>
      <c r="G81" s="22"/>
      <c r="H81" s="25"/>
      <c r="I81" s="33"/>
      <c r="J81" s="25"/>
      <c r="K81" s="31"/>
      <c r="M81" s="23"/>
      <c r="N81" s="11"/>
    </row>
    <row r="82" spans="1:14" s="10" customFormat="1" x14ac:dyDescent="0.25">
      <c r="A82" s="19"/>
      <c r="B82" s="20"/>
      <c r="C82" s="20"/>
      <c r="D82" s="20"/>
      <c r="E82" s="27"/>
      <c r="F82" s="21"/>
      <c r="G82" s="22"/>
      <c r="H82" s="25"/>
      <c r="I82" s="33"/>
      <c r="J82" s="25"/>
      <c r="K82" s="31"/>
      <c r="M82" s="23"/>
      <c r="N82" s="11"/>
    </row>
    <row r="83" spans="1:14" s="10" customFormat="1" x14ac:dyDescent="0.25">
      <c r="A83" s="19"/>
      <c r="B83" s="20"/>
      <c r="C83" s="20"/>
      <c r="D83" s="20"/>
      <c r="E83" s="27"/>
      <c r="F83" s="21"/>
      <c r="G83" s="22"/>
      <c r="H83" s="25"/>
      <c r="I83" s="33"/>
      <c r="J83" s="25"/>
      <c r="K83" s="31"/>
      <c r="M83" s="23"/>
      <c r="N83" s="11"/>
    </row>
    <row r="84" spans="1:14" s="10" customFormat="1" x14ac:dyDescent="0.25">
      <c r="A84" s="19"/>
      <c r="B84" s="20"/>
      <c r="C84" s="20"/>
      <c r="D84" s="20"/>
      <c r="E84" s="27"/>
      <c r="F84" s="21"/>
      <c r="G84" s="22"/>
      <c r="H84" s="25"/>
      <c r="I84" s="33"/>
      <c r="J84" s="25"/>
      <c r="K84" s="31"/>
      <c r="M84" s="23"/>
      <c r="N84" s="11"/>
    </row>
    <row r="85" spans="1:14" s="10" customFormat="1" x14ac:dyDescent="0.25">
      <c r="A85" s="19"/>
      <c r="B85" s="20"/>
      <c r="C85" s="20"/>
      <c r="D85" s="20"/>
      <c r="E85" s="27"/>
      <c r="F85" s="21"/>
      <c r="G85" s="22"/>
      <c r="H85" s="25"/>
      <c r="I85" s="33"/>
      <c r="J85" s="25"/>
      <c r="K85" s="31"/>
      <c r="M85" s="23"/>
      <c r="N85" s="11"/>
    </row>
    <row r="86" spans="1:14" s="10" customFormat="1" x14ac:dyDescent="0.25">
      <c r="A86" s="19"/>
      <c r="B86" s="20"/>
      <c r="C86" s="20"/>
      <c r="D86" s="20"/>
      <c r="E86" s="27"/>
      <c r="F86" s="21"/>
      <c r="G86" s="22"/>
      <c r="H86" s="25"/>
      <c r="I86" s="33"/>
      <c r="J86" s="25"/>
      <c r="K86" s="31"/>
      <c r="M86" s="23"/>
      <c r="N86" s="11"/>
    </row>
    <row r="87" spans="1:14" s="10" customFormat="1" x14ac:dyDescent="0.25">
      <c r="A87" s="19"/>
      <c r="B87" s="20"/>
      <c r="C87" s="20"/>
      <c r="D87" s="20"/>
      <c r="E87" s="27"/>
      <c r="F87" s="21"/>
      <c r="G87" s="22"/>
      <c r="H87" s="25"/>
      <c r="I87" s="33"/>
      <c r="J87" s="25"/>
      <c r="K87" s="31"/>
      <c r="M87" s="23"/>
      <c r="N87" s="11"/>
    </row>
    <row r="88" spans="1:14" s="10" customFormat="1" x14ac:dyDescent="0.25">
      <c r="A88" s="19"/>
      <c r="B88" s="20"/>
      <c r="C88" s="20"/>
      <c r="D88" s="20"/>
      <c r="E88" s="27"/>
      <c r="F88" s="21"/>
      <c r="G88" s="22"/>
      <c r="H88" s="25"/>
      <c r="I88" s="33"/>
      <c r="J88" s="25"/>
      <c r="K88" s="31"/>
      <c r="M88" s="23"/>
      <c r="N88" s="11"/>
    </row>
    <row r="89" spans="1:14" s="10" customFormat="1" x14ac:dyDescent="0.25">
      <c r="A89" s="19"/>
      <c r="B89" s="20"/>
      <c r="C89" s="20"/>
      <c r="D89" s="20"/>
      <c r="E89" s="27"/>
      <c r="F89" s="21"/>
      <c r="G89" s="22"/>
      <c r="H89" s="25"/>
      <c r="I89" s="33"/>
      <c r="J89" s="25"/>
      <c r="K89" s="31"/>
      <c r="M89" s="23"/>
      <c r="N89" s="11"/>
    </row>
    <row r="90" spans="1:14" s="10" customFormat="1" x14ac:dyDescent="0.25">
      <c r="A90" s="19"/>
      <c r="B90" s="20"/>
      <c r="C90" s="20"/>
      <c r="D90" s="20"/>
      <c r="E90" s="27"/>
      <c r="F90" s="21"/>
      <c r="G90" s="22"/>
      <c r="H90" s="25"/>
      <c r="I90" s="33"/>
      <c r="J90" s="25"/>
      <c r="K90" s="31"/>
      <c r="M90" s="23"/>
      <c r="N90" s="11"/>
    </row>
    <row r="91" spans="1:14" s="10" customFormat="1" x14ac:dyDescent="0.25">
      <c r="A91" s="19"/>
      <c r="B91" s="20"/>
      <c r="C91" s="20"/>
      <c r="D91" s="20"/>
      <c r="E91" s="27"/>
      <c r="F91" s="21"/>
      <c r="G91" s="22"/>
      <c r="H91" s="25"/>
      <c r="I91" s="33"/>
      <c r="J91" s="25"/>
      <c r="K91" s="31"/>
      <c r="M91" s="23"/>
      <c r="N91" s="11"/>
    </row>
    <row r="92" spans="1:14" s="10" customFormat="1" x14ac:dyDescent="0.25">
      <c r="A92" s="19"/>
      <c r="B92" s="20"/>
      <c r="C92" s="20"/>
      <c r="D92" s="20"/>
      <c r="E92" s="27"/>
      <c r="F92" s="21"/>
      <c r="G92" s="22"/>
      <c r="H92" s="25"/>
      <c r="I92" s="33"/>
      <c r="J92" s="25"/>
      <c r="K92" s="31"/>
      <c r="M92" s="23"/>
      <c r="N92" s="11"/>
    </row>
    <row r="93" spans="1:14" s="10" customFormat="1" x14ac:dyDescent="0.25">
      <c r="A93" s="19"/>
      <c r="B93" s="20"/>
      <c r="C93" s="20"/>
      <c r="D93" s="20"/>
      <c r="E93" s="27"/>
      <c r="F93" s="21"/>
      <c r="G93" s="22"/>
      <c r="H93" s="25"/>
      <c r="I93" s="33"/>
      <c r="J93" s="25"/>
      <c r="K93" s="31"/>
      <c r="M93" s="23"/>
      <c r="N93" s="11"/>
    </row>
    <row r="94" spans="1:14" s="10" customFormat="1" x14ac:dyDescent="0.25">
      <c r="A94" s="19"/>
      <c r="B94" s="20"/>
      <c r="C94" s="20"/>
      <c r="D94" s="20"/>
      <c r="E94" s="27"/>
      <c r="F94" s="21"/>
      <c r="G94" s="22"/>
      <c r="H94" s="25"/>
      <c r="I94" s="33"/>
      <c r="J94" s="25"/>
      <c r="K94" s="31"/>
      <c r="M94" s="23"/>
      <c r="N94" s="11"/>
    </row>
    <row r="95" spans="1:14" s="10" customFormat="1" x14ac:dyDescent="0.25">
      <c r="A95" s="19"/>
      <c r="B95" s="20"/>
      <c r="C95" s="20"/>
      <c r="D95" s="20"/>
      <c r="E95" s="27"/>
      <c r="F95" s="21"/>
      <c r="G95" s="22"/>
      <c r="H95" s="25"/>
      <c r="I95" s="33"/>
      <c r="J95" s="25"/>
      <c r="K95" s="31"/>
      <c r="M95" s="23"/>
      <c r="N95" s="11"/>
    </row>
    <row r="96" spans="1:14" s="10" customFormat="1" x14ac:dyDescent="0.25">
      <c r="A96" s="19"/>
      <c r="B96" s="20"/>
      <c r="C96" s="20"/>
      <c r="D96" s="20"/>
      <c r="E96" s="27"/>
      <c r="F96" s="21"/>
      <c r="G96" s="22"/>
      <c r="H96" s="25"/>
      <c r="I96" s="33"/>
      <c r="J96" s="25"/>
      <c r="K96" s="31"/>
      <c r="M96" s="23"/>
      <c r="N96" s="11"/>
    </row>
    <row r="97" spans="1:14" s="10" customFormat="1" x14ac:dyDescent="0.25">
      <c r="A97" s="19"/>
      <c r="B97" s="20"/>
      <c r="C97" s="20"/>
      <c r="D97" s="20"/>
      <c r="E97" s="27"/>
      <c r="F97" s="21"/>
      <c r="G97" s="22"/>
      <c r="H97" s="25"/>
      <c r="I97" s="33"/>
      <c r="J97" s="25"/>
      <c r="K97" s="31"/>
      <c r="M97" s="23"/>
      <c r="N97" s="11"/>
    </row>
    <row r="98" spans="1:14" s="10" customFormat="1" x14ac:dyDescent="0.25">
      <c r="A98" s="19"/>
      <c r="B98" s="20"/>
      <c r="C98" s="20"/>
      <c r="D98" s="20"/>
      <c r="E98" s="27"/>
      <c r="F98" s="21"/>
      <c r="G98" s="22"/>
      <c r="H98" s="25"/>
      <c r="I98" s="33"/>
      <c r="J98" s="25"/>
      <c r="K98" s="31"/>
      <c r="M98" s="23"/>
      <c r="N98" s="11"/>
    </row>
    <row r="99" spans="1:14" s="10" customFormat="1" x14ac:dyDescent="0.25">
      <c r="A99" s="19"/>
      <c r="B99" s="20"/>
      <c r="C99" s="20"/>
      <c r="D99" s="20"/>
      <c r="E99" s="27"/>
      <c r="F99" s="21"/>
      <c r="G99" s="22"/>
      <c r="H99" s="25"/>
      <c r="I99" s="33"/>
      <c r="J99" s="25"/>
      <c r="K99" s="31"/>
      <c r="M99" s="23"/>
      <c r="N99" s="11"/>
    </row>
    <row r="100" spans="1:14" s="10" customFormat="1" x14ac:dyDescent="0.25">
      <c r="A100" s="19"/>
      <c r="B100" s="20"/>
      <c r="C100" s="20"/>
      <c r="D100" s="20"/>
      <c r="E100" s="27"/>
      <c r="F100" s="21"/>
      <c r="G100" s="22"/>
      <c r="H100" s="25"/>
      <c r="I100" s="33"/>
      <c r="J100" s="25"/>
      <c r="K100" s="31"/>
      <c r="M100" s="23"/>
      <c r="N100" s="11"/>
    </row>
    <row r="101" spans="1:14" s="10" customFormat="1" x14ac:dyDescent="0.25">
      <c r="A101" s="19"/>
      <c r="B101" s="20"/>
      <c r="C101" s="20"/>
      <c r="D101" s="20"/>
      <c r="E101" s="27"/>
      <c r="F101" s="21"/>
      <c r="G101" s="22"/>
      <c r="H101" s="25"/>
      <c r="I101" s="33"/>
      <c r="J101" s="25"/>
      <c r="K101" s="31"/>
      <c r="M101" s="23"/>
      <c r="N101" s="11"/>
    </row>
    <row r="102" spans="1:14" s="10" customFormat="1" x14ac:dyDescent="0.25">
      <c r="A102" s="19"/>
      <c r="B102" s="20"/>
      <c r="C102" s="20"/>
      <c r="D102" s="20"/>
      <c r="E102" s="27"/>
      <c r="F102" s="21"/>
      <c r="G102" s="22"/>
      <c r="H102" s="25"/>
      <c r="I102" s="33"/>
      <c r="J102" s="25"/>
      <c r="K102" s="31"/>
      <c r="M102" s="23"/>
      <c r="N102" s="11"/>
    </row>
    <row r="103" spans="1:14" s="10" customFormat="1" x14ac:dyDescent="0.25">
      <c r="A103" s="19"/>
      <c r="B103" s="20"/>
      <c r="C103" s="20"/>
      <c r="D103" s="20"/>
      <c r="E103" s="27"/>
      <c r="F103" s="21"/>
      <c r="G103" s="22"/>
      <c r="H103" s="25"/>
      <c r="I103" s="33"/>
      <c r="J103" s="25"/>
      <c r="K103" s="31"/>
      <c r="M103" s="23"/>
      <c r="N103" s="11"/>
    </row>
    <row r="104" spans="1:14" s="10" customFormat="1" x14ac:dyDescent="0.25">
      <c r="A104" s="19"/>
      <c r="B104" s="20"/>
      <c r="C104" s="20"/>
      <c r="D104" s="20"/>
      <c r="E104" s="27"/>
      <c r="F104" s="21"/>
      <c r="G104" s="22"/>
      <c r="H104" s="25"/>
      <c r="I104" s="33"/>
      <c r="J104" s="25"/>
      <c r="K104" s="31"/>
      <c r="M104" s="23"/>
      <c r="N104" s="11"/>
    </row>
    <row r="105" spans="1:14" s="10" customFormat="1" x14ac:dyDescent="0.25">
      <c r="A105" s="19"/>
      <c r="B105" s="20"/>
      <c r="C105" s="20"/>
      <c r="D105" s="20"/>
      <c r="E105" s="27"/>
      <c r="F105" s="21"/>
      <c r="G105" s="22"/>
      <c r="H105" s="25"/>
      <c r="I105" s="33"/>
      <c r="J105" s="25"/>
      <c r="K105" s="31"/>
      <c r="M105" s="23"/>
      <c r="N105" s="11"/>
    </row>
    <row r="106" spans="1:14" s="10" customFormat="1" x14ac:dyDescent="0.25">
      <c r="A106" s="19"/>
      <c r="B106" s="20"/>
      <c r="C106" s="20"/>
      <c r="D106" s="20"/>
      <c r="E106" s="27"/>
      <c r="F106" s="21"/>
      <c r="G106" s="22"/>
      <c r="H106" s="25"/>
      <c r="I106" s="33"/>
      <c r="J106" s="25"/>
      <c r="K106" s="31"/>
      <c r="M106" s="23"/>
      <c r="N106" s="11"/>
    </row>
    <row r="107" spans="1:14" s="10" customFormat="1" x14ac:dyDescent="0.25">
      <c r="A107" s="19"/>
      <c r="B107" s="20"/>
      <c r="C107" s="20"/>
      <c r="D107" s="20"/>
      <c r="E107" s="27"/>
      <c r="F107" s="21"/>
      <c r="G107" s="22"/>
      <c r="H107" s="25"/>
      <c r="I107" s="33"/>
      <c r="J107" s="25"/>
      <c r="K107" s="31"/>
      <c r="M107" s="23"/>
      <c r="N107" s="11"/>
    </row>
    <row r="108" spans="1:14" s="10" customFormat="1" x14ac:dyDescent="0.25">
      <c r="A108" s="19"/>
      <c r="B108" s="20"/>
      <c r="C108" s="20"/>
      <c r="D108" s="20"/>
      <c r="E108" s="27"/>
      <c r="F108" s="21"/>
      <c r="G108" s="22"/>
      <c r="H108" s="25"/>
      <c r="I108" s="33"/>
      <c r="J108" s="25"/>
      <c r="K108" s="31"/>
      <c r="M108" s="23"/>
      <c r="N108" s="11"/>
    </row>
    <row r="109" spans="1:14" s="10" customFormat="1" x14ac:dyDescent="0.25">
      <c r="A109" s="19"/>
      <c r="B109" s="20"/>
      <c r="C109" s="20"/>
      <c r="D109" s="20"/>
      <c r="E109" s="27"/>
      <c r="F109" s="21"/>
      <c r="G109" s="22"/>
      <c r="H109" s="25"/>
      <c r="I109" s="33"/>
      <c r="J109" s="25"/>
      <c r="K109" s="31"/>
      <c r="M109" s="23"/>
      <c r="N109" s="11"/>
    </row>
    <row r="110" spans="1:14" s="10" customFormat="1" x14ac:dyDescent="0.25">
      <c r="A110" s="19"/>
      <c r="B110" s="20"/>
      <c r="C110" s="20"/>
      <c r="D110" s="20"/>
      <c r="E110" s="27"/>
      <c r="F110" s="21"/>
      <c r="G110" s="22"/>
      <c r="H110" s="25"/>
      <c r="I110" s="33"/>
      <c r="J110" s="25"/>
      <c r="K110" s="31"/>
      <c r="M110" s="23"/>
      <c r="N110" s="11"/>
    </row>
    <row r="111" spans="1:14" s="10" customFormat="1" x14ac:dyDescent="0.25">
      <c r="A111" s="19"/>
      <c r="B111" s="20"/>
      <c r="C111" s="20"/>
      <c r="D111" s="20"/>
      <c r="E111" s="27"/>
      <c r="F111" s="21"/>
      <c r="G111" s="22"/>
      <c r="H111" s="25"/>
      <c r="I111" s="33"/>
      <c r="J111" s="25"/>
      <c r="K111" s="31"/>
      <c r="M111" s="23"/>
      <c r="N111" s="11"/>
    </row>
    <row r="112" spans="1:14" s="10" customFormat="1" x14ac:dyDescent="0.25">
      <c r="A112" s="19"/>
      <c r="B112" s="20"/>
      <c r="C112" s="20"/>
      <c r="D112" s="20"/>
      <c r="E112" s="27"/>
      <c r="F112" s="21"/>
      <c r="G112" s="22"/>
      <c r="H112" s="25"/>
      <c r="I112" s="33"/>
      <c r="J112" s="25"/>
      <c r="K112" s="31"/>
      <c r="M112" s="23"/>
      <c r="N112" s="11"/>
    </row>
    <row r="113" spans="1:14" s="10" customFormat="1" x14ac:dyDescent="0.25">
      <c r="A113" s="19"/>
      <c r="B113" s="20"/>
      <c r="C113" s="20"/>
      <c r="D113" s="20"/>
      <c r="E113" s="27"/>
      <c r="F113" s="21"/>
      <c r="G113" s="22"/>
      <c r="H113" s="25"/>
      <c r="I113" s="33"/>
      <c r="J113" s="25"/>
      <c r="K113" s="31"/>
      <c r="M113" s="23"/>
      <c r="N113" s="11"/>
    </row>
    <row r="114" spans="1:14" s="10" customFormat="1" x14ac:dyDescent="0.25">
      <c r="A114" s="19"/>
      <c r="B114" s="20"/>
      <c r="C114" s="20"/>
      <c r="D114" s="20"/>
      <c r="E114" s="27"/>
      <c r="F114" s="21"/>
      <c r="G114" s="22"/>
      <c r="H114" s="25"/>
      <c r="I114" s="33"/>
      <c r="J114" s="25"/>
      <c r="K114" s="31"/>
      <c r="M114" s="23"/>
      <c r="N114" s="11"/>
    </row>
    <row r="115" spans="1:14" s="10" customFormat="1" x14ac:dyDescent="0.25">
      <c r="A115" s="19"/>
      <c r="B115" s="20"/>
      <c r="C115" s="20"/>
      <c r="D115" s="20"/>
      <c r="E115" s="27"/>
      <c r="F115" s="21"/>
      <c r="G115" s="22"/>
      <c r="H115" s="25"/>
      <c r="I115" s="33"/>
      <c r="J115" s="25"/>
      <c r="K115" s="31"/>
      <c r="M115" s="23"/>
      <c r="N115" s="11"/>
    </row>
    <row r="116" spans="1:14" s="10" customFormat="1" x14ac:dyDescent="0.25">
      <c r="A116" s="19"/>
      <c r="B116" s="20"/>
      <c r="C116" s="20"/>
      <c r="D116" s="20"/>
      <c r="E116" s="27"/>
      <c r="F116" s="21"/>
      <c r="G116" s="22"/>
      <c r="H116" s="25"/>
      <c r="I116" s="33"/>
      <c r="J116" s="25"/>
      <c r="K116" s="31"/>
      <c r="M116" s="23"/>
      <c r="N116" s="11"/>
    </row>
    <row r="117" spans="1:14" s="10" customFormat="1" x14ac:dyDescent="0.25">
      <c r="A117" s="19"/>
      <c r="B117" s="20"/>
      <c r="C117" s="20"/>
      <c r="D117" s="20"/>
      <c r="E117" s="27"/>
      <c r="F117" s="21"/>
      <c r="G117" s="22"/>
      <c r="H117" s="25"/>
      <c r="I117" s="33"/>
      <c r="J117" s="25"/>
      <c r="K117" s="31"/>
      <c r="M117" s="23"/>
      <c r="N117" s="11"/>
    </row>
    <row r="118" spans="1:14" s="10" customFormat="1" x14ac:dyDescent="0.25">
      <c r="A118" s="19"/>
      <c r="B118" s="20"/>
      <c r="C118" s="20"/>
      <c r="D118" s="20"/>
      <c r="E118" s="27"/>
      <c r="F118" s="21"/>
      <c r="G118" s="22"/>
      <c r="H118" s="25"/>
      <c r="I118" s="33"/>
      <c r="J118" s="25"/>
      <c r="K118" s="31"/>
      <c r="M118" s="23"/>
      <c r="N118" s="11"/>
    </row>
    <row r="119" spans="1:14" s="10" customFormat="1" x14ac:dyDescent="0.25">
      <c r="A119" s="19"/>
      <c r="B119" s="20"/>
      <c r="C119" s="20"/>
      <c r="D119" s="20"/>
      <c r="E119" s="27"/>
      <c r="F119" s="21"/>
      <c r="G119" s="22"/>
      <c r="H119" s="25"/>
      <c r="I119" s="33"/>
      <c r="J119" s="25"/>
      <c r="K119" s="31"/>
      <c r="M119" s="23"/>
      <c r="N119" s="11"/>
    </row>
    <row r="120" spans="1:14" s="10" customFormat="1" x14ac:dyDescent="0.25">
      <c r="A120" s="19"/>
      <c r="B120" s="20"/>
      <c r="C120" s="20"/>
      <c r="D120" s="20"/>
      <c r="E120" s="27"/>
      <c r="F120" s="21"/>
      <c r="G120" s="22"/>
      <c r="H120" s="25"/>
      <c r="I120" s="33"/>
      <c r="J120" s="25"/>
      <c r="K120" s="31"/>
      <c r="M120" s="23"/>
      <c r="N120" s="11"/>
    </row>
    <row r="121" spans="1:14" s="10" customFormat="1" x14ac:dyDescent="0.25">
      <c r="A121" s="19"/>
      <c r="B121" s="20"/>
      <c r="C121" s="20"/>
      <c r="D121" s="20"/>
      <c r="E121" s="27"/>
      <c r="F121" s="21"/>
      <c r="G121" s="22"/>
      <c r="H121" s="25"/>
      <c r="I121" s="33"/>
      <c r="J121" s="25"/>
      <c r="K121" s="31"/>
      <c r="M121" s="23"/>
      <c r="N121" s="11"/>
    </row>
    <row r="122" spans="1:14" s="10" customFormat="1" x14ac:dyDescent="0.25">
      <c r="A122" s="19"/>
      <c r="B122" s="20"/>
      <c r="C122" s="20"/>
      <c r="D122" s="20"/>
      <c r="E122" s="27"/>
      <c r="F122" s="21"/>
      <c r="G122" s="22"/>
      <c r="H122" s="25"/>
      <c r="I122" s="33"/>
      <c r="J122" s="25"/>
      <c r="K122" s="31"/>
      <c r="M122" s="23"/>
      <c r="N122" s="11"/>
    </row>
    <row r="123" spans="1:14" s="10" customFormat="1" x14ac:dyDescent="0.25">
      <c r="A123" s="19"/>
      <c r="B123" s="20"/>
      <c r="C123" s="20"/>
      <c r="D123" s="20"/>
      <c r="E123" s="27"/>
      <c r="F123" s="21"/>
      <c r="G123" s="22"/>
      <c r="H123" s="25"/>
      <c r="I123" s="33"/>
      <c r="J123" s="25"/>
      <c r="K123" s="31"/>
      <c r="M123" s="23"/>
      <c r="N123" s="11"/>
    </row>
    <row r="124" spans="1:14" s="10" customFormat="1" x14ac:dyDescent="0.25">
      <c r="A124" s="19"/>
      <c r="B124" s="20"/>
      <c r="C124" s="20"/>
      <c r="D124" s="20"/>
      <c r="E124" s="27"/>
      <c r="F124" s="21"/>
      <c r="G124" s="22"/>
      <c r="H124" s="25"/>
      <c r="I124" s="33"/>
      <c r="J124" s="25"/>
      <c r="K124" s="31"/>
      <c r="M124" s="23"/>
      <c r="N124" s="11"/>
    </row>
    <row r="125" spans="1:14" s="10" customFormat="1" x14ac:dyDescent="0.25">
      <c r="A125" s="19"/>
      <c r="B125" s="20"/>
      <c r="C125" s="20"/>
      <c r="D125" s="20"/>
      <c r="E125" s="27"/>
      <c r="F125" s="21"/>
      <c r="G125" s="22"/>
      <c r="H125" s="25"/>
      <c r="I125" s="33"/>
      <c r="J125" s="25"/>
      <c r="K125" s="31"/>
      <c r="M125" s="23"/>
      <c r="N125" s="11"/>
    </row>
    <row r="126" spans="1:14" s="10" customFormat="1" x14ac:dyDescent="0.25">
      <c r="A126" s="19"/>
      <c r="B126" s="20"/>
      <c r="C126" s="20"/>
      <c r="D126" s="20"/>
      <c r="E126" s="27"/>
      <c r="F126" s="21"/>
      <c r="G126" s="22"/>
      <c r="H126" s="25"/>
      <c r="I126" s="33"/>
      <c r="J126" s="25"/>
      <c r="K126" s="31"/>
      <c r="M126" s="23"/>
      <c r="N126" s="11"/>
    </row>
    <row r="127" spans="1:14" s="10" customFormat="1" x14ac:dyDescent="0.25">
      <c r="A127" s="19"/>
      <c r="B127" s="20"/>
      <c r="C127" s="20"/>
      <c r="D127" s="20"/>
      <c r="E127" s="27"/>
      <c r="F127" s="21"/>
      <c r="G127" s="22"/>
      <c r="H127" s="25"/>
      <c r="I127" s="33"/>
      <c r="J127" s="25"/>
      <c r="K127" s="31"/>
      <c r="M127" s="23"/>
      <c r="N127" s="11"/>
    </row>
    <row r="128" spans="1:14" s="10" customFormat="1" x14ac:dyDescent="0.25">
      <c r="A128" s="19"/>
      <c r="B128" s="20"/>
      <c r="C128" s="20"/>
      <c r="D128" s="20"/>
      <c r="E128" s="27"/>
      <c r="F128" s="21"/>
      <c r="G128" s="22"/>
      <c r="H128" s="25"/>
      <c r="I128" s="33"/>
      <c r="J128" s="25"/>
      <c r="K128" s="31"/>
      <c r="M128" s="23"/>
      <c r="N128" s="11"/>
    </row>
    <row r="129" spans="1:14" s="10" customFormat="1" x14ac:dyDescent="0.25">
      <c r="A129" s="19"/>
      <c r="B129" s="20"/>
      <c r="C129" s="20"/>
      <c r="D129" s="20"/>
      <c r="E129" s="27"/>
      <c r="F129" s="21"/>
      <c r="G129" s="22"/>
      <c r="H129" s="25"/>
      <c r="I129" s="33"/>
      <c r="J129" s="25"/>
      <c r="K129" s="31"/>
      <c r="M129" s="23"/>
      <c r="N129" s="11"/>
    </row>
    <row r="130" spans="1:14" s="10" customFormat="1" x14ac:dyDescent="0.25">
      <c r="A130" s="19"/>
      <c r="B130" s="20"/>
      <c r="C130" s="20"/>
      <c r="D130" s="20"/>
      <c r="E130" s="27"/>
      <c r="F130" s="21"/>
      <c r="G130" s="22"/>
      <c r="H130" s="25"/>
      <c r="I130" s="33"/>
      <c r="J130" s="25"/>
      <c r="K130" s="31"/>
      <c r="M130" s="23"/>
      <c r="N130" s="11"/>
    </row>
    <row r="131" spans="1:14" s="10" customFormat="1" x14ac:dyDescent="0.25">
      <c r="A131" s="19"/>
      <c r="B131" s="20"/>
      <c r="C131" s="20"/>
      <c r="D131" s="20"/>
      <c r="E131" s="27"/>
      <c r="F131" s="21"/>
      <c r="G131" s="22"/>
      <c r="H131" s="25"/>
      <c r="I131" s="33"/>
      <c r="J131" s="25"/>
      <c r="K131" s="31"/>
      <c r="M131" s="23"/>
      <c r="N131" s="11"/>
    </row>
    <row r="132" spans="1:14" s="10" customFormat="1" x14ac:dyDescent="0.25">
      <c r="A132" s="19"/>
      <c r="B132" s="20"/>
      <c r="C132" s="20"/>
      <c r="D132" s="20"/>
      <c r="E132" s="27"/>
      <c r="F132" s="21"/>
      <c r="G132" s="22"/>
      <c r="H132" s="25"/>
      <c r="I132" s="33"/>
      <c r="J132" s="25"/>
      <c r="K132" s="31"/>
      <c r="M132" s="23"/>
      <c r="N132" s="11"/>
    </row>
    <row r="133" spans="1:14" s="10" customFormat="1" x14ac:dyDescent="0.25">
      <c r="A133" s="19"/>
      <c r="B133" s="20"/>
      <c r="C133" s="20"/>
      <c r="D133" s="20"/>
      <c r="E133" s="27"/>
      <c r="F133" s="21"/>
      <c r="G133" s="22"/>
      <c r="H133" s="25"/>
      <c r="I133" s="33"/>
      <c r="J133" s="25"/>
      <c r="K133" s="31"/>
      <c r="M133" s="23"/>
      <c r="N133" s="11"/>
    </row>
    <row r="134" spans="1:14" s="10" customFormat="1" x14ac:dyDescent="0.25">
      <c r="A134" s="19"/>
      <c r="B134" s="20"/>
      <c r="C134" s="20"/>
      <c r="D134" s="20"/>
      <c r="E134" s="27"/>
      <c r="F134" s="21"/>
      <c r="G134" s="22"/>
      <c r="H134" s="25"/>
      <c r="I134" s="33"/>
      <c r="J134" s="25"/>
      <c r="K134" s="31"/>
      <c r="M134" s="23"/>
      <c r="N134" s="11"/>
    </row>
  </sheetData>
  <autoFilter ref="A1:P11" xr:uid="{00000000-0009-0000-0000-000001000000}">
    <sortState xmlns:xlrd2="http://schemas.microsoft.com/office/spreadsheetml/2017/richdata2" ref="A2:Q81">
      <sortCondition ref="F1:F11"/>
    </sortState>
  </autoFilter>
  <conditionalFormatting sqref="A1:J1 E21 E25 E29 E33 B19:D19 B21:D23 B25:D27 B29:D31 B33:D35 B37:E37 E47 E43 B38:D40 H42:H47 J38:J40 J42:J47 B42:D47 L1:XFD1">
    <cfRule type="beginsWith" dxfId="85" priority="24" operator="beginsWith" text="[K_">
      <formula>LEFT(A1,LEN("[K_"))="[K_"</formula>
    </cfRule>
  </conditionalFormatting>
  <conditionalFormatting sqref="K1">
    <cfRule type="beginsWith" dxfId="84" priority="22" operator="beginsWith" text="[K_">
      <formula>LEFT(K1,LEN("[K_"))="[K_"</formula>
    </cfRule>
  </conditionalFormatting>
  <conditionalFormatting sqref="B20:E20 B24:E24 B28:E28 B32:E32 B36:E36 J19:J37 E40 E46 E42">
    <cfRule type="beginsWith" dxfId="83" priority="21" operator="beginsWith" text="[K_">
      <formula>LEFT(B19,LEN("[K_"))="[K_"</formula>
    </cfRule>
  </conditionalFormatting>
  <conditionalFormatting sqref="H68:H134 B68:E134 J68:J134">
    <cfRule type="beginsWith" dxfId="82" priority="19" operator="beginsWith" text="[K_">
      <formula>LEFT(B68,LEN("[K_"))="[K_"</formula>
    </cfRule>
  </conditionalFormatting>
  <conditionalFormatting sqref="F68:F1048576 F1:F3 F19:F37">
    <cfRule type="duplicateValues" dxfId="81" priority="18"/>
  </conditionalFormatting>
  <conditionalFormatting sqref="B48:E67">
    <cfRule type="beginsWith" dxfId="80" priority="17" operator="beginsWith" text="[K_">
      <formula>LEFT(B48,LEN("[K_"))="[K_"</formula>
    </cfRule>
  </conditionalFormatting>
  <conditionalFormatting sqref="H48:H67 J48:J67">
    <cfRule type="beginsWith" dxfId="79" priority="16" operator="beginsWith" text="[K_">
      <formula>LEFT(H48,LEN("[K_"))="[K_"</formula>
    </cfRule>
  </conditionalFormatting>
  <conditionalFormatting sqref="F48:F67">
    <cfRule type="duplicateValues" dxfId="78" priority="15"/>
  </conditionalFormatting>
  <conditionalFormatting sqref="F38:F40 F42:F47">
    <cfRule type="duplicateValues" dxfId="77" priority="25"/>
  </conditionalFormatting>
  <conditionalFormatting sqref="E42:E1048576 E1:E3 E19:E40">
    <cfRule type="duplicateValues" dxfId="76" priority="14"/>
  </conditionalFormatting>
  <conditionalFormatting sqref="B41:D41 J41">
    <cfRule type="beginsWith" dxfId="75" priority="13" operator="beginsWith" text="[K_">
      <formula>LEFT(B41,LEN("[K_"))="[K_"</formula>
    </cfRule>
  </conditionalFormatting>
  <conditionalFormatting sqref="F41">
    <cfRule type="duplicateValues" dxfId="74" priority="12"/>
  </conditionalFormatting>
  <conditionalFormatting sqref="E41">
    <cfRule type="duplicateValues" dxfId="73" priority="11"/>
  </conditionalFormatting>
  <conditionalFormatting sqref="H3:J3 B3:D3 I41 J4:J15">
    <cfRule type="beginsWith" dxfId="72" priority="23" operator="beginsWith" text="[K_">
      <formula>LEFT(#REF!,LEN("[K_"))="[K_"</formula>
    </cfRule>
  </conditionalFormatting>
  <conditionalFormatting sqref="I42:I134">
    <cfRule type="beginsWith" dxfId="71" priority="20" operator="beginsWith" text="[K_">
      <formula>LEFT(#REF!,LEN("[K_"))="[K_"</formula>
    </cfRule>
  </conditionalFormatting>
  <conditionalFormatting sqref="I19:I40">
    <cfRule type="beginsWith" dxfId="70" priority="26" operator="beginsWith" text="[K_">
      <formula>LEFT(#REF!,LEN("[K_"))="[K_"</formula>
    </cfRule>
  </conditionalFormatting>
  <conditionalFormatting sqref="H4">
    <cfRule type="beginsWith" dxfId="69" priority="10" operator="beginsWith" text="[K_">
      <formula>LEFT(#REF!,LEN("[K_"))="[K_"</formula>
    </cfRule>
  </conditionalFormatting>
  <conditionalFormatting sqref="B5:D15">
    <cfRule type="beginsWith" dxfId="68" priority="5" operator="beginsWith" text="[K_">
      <formula>LEFT(#REF!,LEN("[K_"))="[K_"</formula>
    </cfRule>
  </conditionalFormatting>
  <conditionalFormatting sqref="I5:I15">
    <cfRule type="beginsWith" dxfId="67" priority="6" operator="beginsWith" text="[K_">
      <formula>LEFT(#REF!,LEN("[K_"))="[K_"</formula>
    </cfRule>
  </conditionalFormatting>
  <conditionalFormatting sqref="I4">
    <cfRule type="beginsWith" dxfId="66" priority="9" operator="beginsWith" text="[K_">
      <formula>LEFT(#REF!,LEN("[K_"))="[K_"</formula>
    </cfRule>
  </conditionalFormatting>
  <conditionalFormatting sqref="B4:D4">
    <cfRule type="beginsWith" dxfId="65" priority="8" operator="beginsWith" text="[K_">
      <formula>LEFT(#REF!,LEN("[K_"))="[K_"</formula>
    </cfRule>
  </conditionalFormatting>
  <conditionalFormatting sqref="H5:H15">
    <cfRule type="beginsWith" dxfId="64" priority="7" operator="beginsWith" text="[K_">
      <formula>LEFT(#REF!,LEN("[K_"))="[K_"</formula>
    </cfRule>
  </conditionalFormatting>
  <conditionalFormatting sqref="J16:J18">
    <cfRule type="beginsWith" dxfId="63" priority="4" operator="beginsWith" text="[K_">
      <formula>LEFT(#REF!,LEN("[K_"))="[K_"</formula>
    </cfRule>
  </conditionalFormatting>
  <conditionalFormatting sqref="B16:D18">
    <cfRule type="beginsWith" dxfId="62" priority="1" operator="beginsWith" text="[K_">
      <formula>LEFT(#REF!,LEN("[K_"))="[K_"</formula>
    </cfRule>
  </conditionalFormatting>
  <conditionalFormatting sqref="I16:I18">
    <cfRule type="beginsWith" dxfId="61" priority="2" operator="beginsWith" text="[K_">
      <formula>LEFT(#REF!,LEN("[K_"))="[K_"</formula>
    </cfRule>
  </conditionalFormatting>
  <conditionalFormatting sqref="H16:H18">
    <cfRule type="beginsWith" dxfId="60" priority="3" operator="beginsWith" text="[K_">
      <formula>LEFT(#REF!,LEN("[K_"))="[K_"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AED34-B5EB-40FB-827C-F464077DABB2}">
  <dimension ref="A1:P132"/>
  <sheetViews>
    <sheetView zoomScale="130" zoomScaleNormal="130" workbookViewId="0"/>
  </sheetViews>
  <sheetFormatPr baseColWidth="10" defaultColWidth="11.42578125" defaultRowHeight="15" x14ac:dyDescent="0.25"/>
  <cols>
    <col min="1" max="1" width="3.28515625" style="13" customWidth="1"/>
    <col min="2" max="4" width="4.140625" customWidth="1"/>
    <col min="5" max="5" width="17.5703125" style="15" bestFit="1" customWidth="1"/>
    <col min="6" max="6" width="43.28515625" style="9" bestFit="1" customWidth="1"/>
    <col min="7" max="7" width="28.140625" style="9" customWidth="1"/>
    <col min="8" max="8" width="16.28515625" style="26" customWidth="1"/>
    <col min="9" max="9" width="38.42578125" style="34" customWidth="1"/>
    <col min="10" max="10" width="24.42578125" style="15" customWidth="1"/>
    <col min="11" max="11" width="24.42578125" style="31" customWidth="1"/>
    <col min="12" max="12" width="8.42578125" customWidth="1"/>
    <col min="13" max="13" width="25.28515625" customWidth="1"/>
    <col min="14" max="14" width="17.42578125" style="12" customWidth="1"/>
  </cols>
  <sheetData>
    <row r="1" spans="1:16" s="18" customFormat="1" x14ac:dyDescent="0.25">
      <c r="A1" s="17" t="s">
        <v>8</v>
      </c>
      <c r="B1" s="18" t="s">
        <v>0</v>
      </c>
      <c r="C1" s="18" t="s">
        <v>1</v>
      </c>
      <c r="D1" s="18" t="s">
        <v>2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81</v>
      </c>
      <c r="M1" s="18" t="s">
        <v>9</v>
      </c>
      <c r="N1" s="18" t="str">
        <f>TABLE!A1</f>
        <v>PG_CI_STATE_GEO</v>
      </c>
      <c r="O1" s="18" t="s">
        <v>6</v>
      </c>
      <c r="P1" s="18" t="str">
        <f>CONCATENATE($M$1,$N$1,$O$1,B3, ", ", C3, ", ", D3, ", ", )</f>
        <v xml:space="preserve">EXECUTE [dbo].[PG_CI_STATE_GEO] 0, 10, 139, </v>
      </c>
    </row>
    <row r="2" spans="1:16" s="10" customFormat="1" x14ac:dyDescent="0.25">
      <c r="A2" s="3"/>
      <c r="B2" s="7" t="s">
        <v>7</v>
      </c>
      <c r="C2" s="7" t="s">
        <v>7</v>
      </c>
      <c r="D2" s="7" t="s">
        <v>7</v>
      </c>
      <c r="E2" s="14" t="s">
        <v>7</v>
      </c>
      <c r="F2" s="8" t="s">
        <v>7</v>
      </c>
      <c r="G2" s="8" t="s">
        <v>7</v>
      </c>
      <c r="H2" s="24" t="s">
        <v>7</v>
      </c>
      <c r="I2" s="32" t="s">
        <v>7</v>
      </c>
      <c r="J2" s="14" t="s">
        <v>7</v>
      </c>
      <c r="K2" s="14" t="s">
        <v>7</v>
      </c>
      <c r="L2" s="1"/>
      <c r="M2" s="2" t="str">
        <f>"-- =========================================================="</f>
        <v>-- ==========================================================</v>
      </c>
      <c r="O2" s="6"/>
      <c r="P2" s="1"/>
    </row>
    <row r="3" spans="1:16" s="10" customFormat="1" x14ac:dyDescent="0.25">
      <c r="A3" s="19">
        <v>1</v>
      </c>
      <c r="B3" s="20">
        <v>0</v>
      </c>
      <c r="C3" s="20">
        <v>10</v>
      </c>
      <c r="D3" s="20">
        <v>139</v>
      </c>
      <c r="E3" s="27">
        <v>112</v>
      </c>
      <c r="F3" s="21" t="s">
        <v>233</v>
      </c>
      <c r="G3" s="22" t="s">
        <v>233</v>
      </c>
      <c r="H3" s="25">
        <v>1</v>
      </c>
      <c r="I3" s="33" t="str">
        <f>CONCATENATE("#",E3," // ",F3)</f>
        <v>#112 // Amnat Charoen</v>
      </c>
      <c r="J3" s="25">
        <v>0</v>
      </c>
      <c r="K3" s="31">
        <v>349</v>
      </c>
      <c r="M3" s="23" t="str">
        <f>CONCATENATE(CI_TAILANDIA!$P$1,E3,", '",F3,"', '",G3,"' , ",H3," , '",I3,"' , ",J3,",",K3)</f>
        <v>EXECUTE [dbo].[PG_CI_STATE_GEO] 0, 10, 139, 112, 'Amnat Charoen', 'Amnat Charoen' , 1 , '#112 // Amnat Charoen' , 0,349</v>
      </c>
      <c r="N3" s="11"/>
    </row>
    <row r="4" spans="1:16" s="10" customFormat="1" x14ac:dyDescent="0.25">
      <c r="A4" s="19">
        <f>+A3+1</f>
        <v>2</v>
      </c>
      <c r="B4" s="20">
        <v>0</v>
      </c>
      <c r="C4" s="20">
        <v>10</v>
      </c>
      <c r="D4" s="20">
        <v>139</v>
      </c>
      <c r="E4" s="35">
        <f>+E3+1</f>
        <v>113</v>
      </c>
      <c r="F4" s="21" t="s">
        <v>253</v>
      </c>
      <c r="G4" s="22" t="s">
        <v>253</v>
      </c>
      <c r="H4" s="25">
        <v>1</v>
      </c>
      <c r="I4" s="33" t="str">
        <f>CONCATENATE("#",E4," // ",F4)</f>
        <v>#113 // Ang Thong</v>
      </c>
      <c r="J4" s="25">
        <v>0</v>
      </c>
      <c r="K4" s="31">
        <f>K3</f>
        <v>349</v>
      </c>
      <c r="M4" s="23" t="str">
        <f>CONCATENATE(CI_TAILANDIA!$P$1,E4,", '",F4,"', '",G4,"' , ",H4," , '",I4,"' , ",J4,",",K4)</f>
        <v>EXECUTE [dbo].[PG_CI_STATE_GEO] 0, 10, 139, 113, 'Ang Thong', 'Ang Thong' , 1 , '#113 // Ang Thong' , 0,349</v>
      </c>
      <c r="N4" s="11"/>
    </row>
    <row r="5" spans="1:16" s="10" customFormat="1" x14ac:dyDescent="0.25">
      <c r="A5" s="19">
        <f t="shared" ref="A5:A18" si="0">+A4+1</f>
        <v>3</v>
      </c>
      <c r="B5" s="20">
        <v>0</v>
      </c>
      <c r="C5" s="20">
        <v>10</v>
      </c>
      <c r="D5" s="20">
        <v>139</v>
      </c>
      <c r="E5" s="35">
        <f t="shared" ref="E5:E18" si="1">+E4+1</f>
        <v>114</v>
      </c>
      <c r="F5" s="21" t="s">
        <v>255</v>
      </c>
      <c r="G5" s="22" t="s">
        <v>255</v>
      </c>
      <c r="H5" s="25">
        <v>1</v>
      </c>
      <c r="I5" s="33" t="str">
        <f>CONCATENATE("#",E5," // ",F5)</f>
        <v>#114 // Bangkok</v>
      </c>
      <c r="J5" s="25">
        <v>0</v>
      </c>
      <c r="K5" s="31">
        <f t="shared" ref="K5:K68" si="2">K4</f>
        <v>349</v>
      </c>
      <c r="M5" s="23" t="str">
        <f>CONCATENATE(CI_TAILANDIA!$P$1,E5,", '",F5,"', '",G5,"' , ",H5," , '",I5,"' , ",J5,",",K5)</f>
        <v>EXECUTE [dbo].[PG_CI_STATE_GEO] 0, 10, 139, 114, 'Bangkok', 'Bangkok' , 1 , '#114 // Bangkok' , 0,349</v>
      </c>
      <c r="N5" s="11"/>
    </row>
    <row r="6" spans="1:16" s="10" customFormat="1" x14ac:dyDescent="0.25">
      <c r="A6" s="19">
        <f t="shared" si="0"/>
        <v>4</v>
      </c>
      <c r="B6" s="20">
        <v>0</v>
      </c>
      <c r="C6" s="20">
        <v>10</v>
      </c>
      <c r="D6" s="20">
        <v>139</v>
      </c>
      <c r="E6" s="35">
        <f t="shared" si="1"/>
        <v>115</v>
      </c>
      <c r="F6" s="21" t="s">
        <v>252</v>
      </c>
      <c r="G6" s="22" t="s">
        <v>252</v>
      </c>
      <c r="H6" s="25">
        <v>1</v>
      </c>
      <c r="I6" s="33" t="str">
        <f>CONCATENATE("#",E6," // ",F6)</f>
        <v>#115 // Bueng Kan</v>
      </c>
      <c r="J6" s="25">
        <v>0</v>
      </c>
      <c r="K6" s="31">
        <f t="shared" si="2"/>
        <v>349</v>
      </c>
      <c r="M6" s="23" t="str">
        <f>CONCATENATE(CI_TAILANDIA!$P$1,E6,", '",F6,"', '",G6,"' , ",H6," , '",I6,"' , ",J6,",",K6)</f>
        <v>EXECUTE [dbo].[PG_CI_STATE_GEO] 0, 10, 139, 115, 'Bueng Kan', 'Bueng Kan' , 1 , '#115 // Bueng Kan' , 0,349</v>
      </c>
      <c r="N6" s="11"/>
    </row>
    <row r="7" spans="1:16" s="10" customFormat="1" x14ac:dyDescent="0.25">
      <c r="A7" s="19">
        <f t="shared" si="0"/>
        <v>5</v>
      </c>
      <c r="B7" s="20">
        <v>0</v>
      </c>
      <c r="C7" s="20">
        <v>10</v>
      </c>
      <c r="D7" s="20">
        <v>139</v>
      </c>
      <c r="E7" s="35">
        <f t="shared" si="1"/>
        <v>116</v>
      </c>
      <c r="F7" s="21" t="s">
        <v>234</v>
      </c>
      <c r="G7" s="22" t="s">
        <v>234</v>
      </c>
      <c r="H7" s="25">
        <v>1</v>
      </c>
      <c r="I7" s="33" t="str">
        <f>CONCATENATE("#",E7," // ",F7)</f>
        <v>#116 // Buri Ram</v>
      </c>
      <c r="J7" s="25">
        <v>0</v>
      </c>
      <c r="K7" s="31">
        <f t="shared" si="2"/>
        <v>349</v>
      </c>
      <c r="M7" s="23" t="str">
        <f>CONCATENATE(CI_TAILANDIA!$P$1,E7,", '",F7,"', '",G7,"' , ",H7," , '",I7,"' , ",J7,",",K7)</f>
        <v>EXECUTE [dbo].[PG_CI_STATE_GEO] 0, 10, 139, 116, 'Buri Ram', 'Buri Ram' , 1 , '#116 // Buri Ram' , 0,349</v>
      </c>
      <c r="N7" s="11"/>
    </row>
    <row r="8" spans="1:16" s="10" customFormat="1" x14ac:dyDescent="0.25">
      <c r="A8" s="19">
        <f t="shared" si="0"/>
        <v>6</v>
      </c>
      <c r="B8" s="20">
        <v>0</v>
      </c>
      <c r="C8" s="20">
        <v>10</v>
      </c>
      <c r="D8" s="20">
        <v>139</v>
      </c>
      <c r="E8" s="35">
        <f t="shared" si="1"/>
        <v>117</v>
      </c>
      <c r="F8" s="21" t="s">
        <v>272</v>
      </c>
      <c r="G8" s="22" t="s">
        <v>272</v>
      </c>
      <c r="H8" s="25">
        <v>1</v>
      </c>
      <c r="I8" s="33" t="str">
        <f>CONCATENATE("#",E8," // ",F8)</f>
        <v>#117 // Chachoengsao</v>
      </c>
      <c r="J8" s="25">
        <v>0</v>
      </c>
      <c r="K8" s="31">
        <f t="shared" si="2"/>
        <v>349</v>
      </c>
      <c r="M8" s="23" t="str">
        <f>CONCATENATE(CI_TAILANDIA!$P$1,E8,", '",F8,"', '",G8,"' , ",H8," , '",I8,"' , ",J8,",",K8)</f>
        <v>EXECUTE [dbo].[PG_CI_STATE_GEO] 0, 10, 139, 117, 'Chachoengsao', 'Chachoengsao' , 1 , '#117 // Chachoengsao' , 0,349</v>
      </c>
      <c r="N8" s="11"/>
    </row>
    <row r="9" spans="1:16" s="10" customFormat="1" x14ac:dyDescent="0.25">
      <c r="A9" s="19">
        <f t="shared" si="0"/>
        <v>7</v>
      </c>
      <c r="B9" s="20">
        <v>0</v>
      </c>
      <c r="C9" s="20">
        <v>10</v>
      </c>
      <c r="D9" s="20">
        <v>139</v>
      </c>
      <c r="E9" s="35">
        <f t="shared" si="1"/>
        <v>118</v>
      </c>
      <c r="F9" s="21" t="s">
        <v>256</v>
      </c>
      <c r="G9" s="22" t="s">
        <v>256</v>
      </c>
      <c r="H9" s="25">
        <v>1</v>
      </c>
      <c r="I9" s="33" t="str">
        <f>CONCATENATE("#",E9," // ",F9)</f>
        <v>#118 // Chainat</v>
      </c>
      <c r="J9" s="25">
        <v>0</v>
      </c>
      <c r="K9" s="31">
        <f t="shared" si="2"/>
        <v>349</v>
      </c>
      <c r="M9" s="23" t="str">
        <f>CONCATENATE(CI_TAILANDIA!$P$1,E9,", '",F9,"', '",G9,"' , ",H9," , '",I9,"' , ",J9,",",K9)</f>
        <v>EXECUTE [dbo].[PG_CI_STATE_GEO] 0, 10, 139, 118, 'Chainat', 'Chainat' , 1 , '#118 // Chainat' , 0,349</v>
      </c>
      <c r="N9" s="11"/>
    </row>
    <row r="10" spans="1:16" s="10" customFormat="1" x14ac:dyDescent="0.25">
      <c r="A10" s="19">
        <f t="shared" si="0"/>
        <v>8</v>
      </c>
      <c r="B10" s="20">
        <v>0</v>
      </c>
      <c r="C10" s="20">
        <v>10</v>
      </c>
      <c r="D10" s="20">
        <v>139</v>
      </c>
      <c r="E10" s="35">
        <f t="shared" si="1"/>
        <v>119</v>
      </c>
      <c r="F10" s="21" t="s">
        <v>235</v>
      </c>
      <c r="G10" s="22" t="s">
        <v>235</v>
      </c>
      <c r="H10" s="25">
        <v>1</v>
      </c>
      <c r="I10" s="33" t="str">
        <f>CONCATENATE("#",E10," // ",F10)</f>
        <v>#119 // Chaiyaphum</v>
      </c>
      <c r="J10" s="25">
        <v>0</v>
      </c>
      <c r="K10" s="31">
        <f t="shared" si="2"/>
        <v>349</v>
      </c>
      <c r="M10" s="23" t="str">
        <f>CONCATENATE(CI_TAILANDIA!$P$1,E10,", '",F10,"', '",G10,"' , ",H10," , '",I10,"' , ",J10,",",K10)</f>
        <v>EXECUTE [dbo].[PG_CI_STATE_GEO] 0, 10, 139, 119, 'Chaiyaphum', 'Chaiyaphum' , 1 , '#119 // Chaiyaphum' , 0,349</v>
      </c>
      <c r="N10" s="11"/>
    </row>
    <row r="11" spans="1:16" s="10" customFormat="1" x14ac:dyDescent="0.25">
      <c r="A11" s="19">
        <f t="shared" si="0"/>
        <v>9</v>
      </c>
      <c r="B11" s="20">
        <v>0</v>
      </c>
      <c r="C11" s="20">
        <v>10</v>
      </c>
      <c r="D11" s="20">
        <v>139</v>
      </c>
      <c r="E11" s="35">
        <f t="shared" si="1"/>
        <v>120</v>
      </c>
      <c r="F11" s="21" t="s">
        <v>273</v>
      </c>
      <c r="G11" s="22" t="s">
        <v>273</v>
      </c>
      <c r="H11" s="25">
        <v>1</v>
      </c>
      <c r="I11" s="33" t="str">
        <f>CONCATENATE("#",E11," // ",F11)</f>
        <v>#120 // Chanthaburi</v>
      </c>
      <c r="J11" s="25">
        <v>0</v>
      </c>
      <c r="K11" s="31">
        <f t="shared" si="2"/>
        <v>349</v>
      </c>
      <c r="M11" s="23" t="str">
        <f>CONCATENATE(CI_TAILANDIA!$P$1,E11,", '",F11,"', '",G11,"' , ",H11," , '",I11,"' , ",J11,",",K11)</f>
        <v>EXECUTE [dbo].[PG_CI_STATE_GEO] 0, 10, 139, 120, 'Chanthaburi', 'Chanthaburi' , 1 , '#120 // Chanthaburi' , 0,349</v>
      </c>
      <c r="N11" s="11"/>
    </row>
    <row r="12" spans="1:16" s="10" customFormat="1" x14ac:dyDescent="0.25">
      <c r="A12" s="19">
        <f t="shared" si="0"/>
        <v>10</v>
      </c>
      <c r="B12" s="20">
        <v>0</v>
      </c>
      <c r="C12" s="20">
        <v>10</v>
      </c>
      <c r="D12" s="20">
        <v>139</v>
      </c>
      <c r="E12" s="35">
        <f t="shared" si="1"/>
        <v>121</v>
      </c>
      <c r="F12" s="21" t="s">
        <v>216</v>
      </c>
      <c r="G12" s="22" t="s">
        <v>216</v>
      </c>
      <c r="H12" s="25">
        <v>1</v>
      </c>
      <c r="I12" s="33" t="str">
        <f>CONCATENATE("#",E12," // ",F12)</f>
        <v>#121 // Chiang Mai</v>
      </c>
      <c r="J12" s="25">
        <v>0</v>
      </c>
      <c r="K12" s="31">
        <f t="shared" si="2"/>
        <v>349</v>
      </c>
      <c r="M12" s="23" t="str">
        <f>CONCATENATE(CI_TAILANDIA!$P$1,E12,", '",F12,"', '",G12,"' , ",H12," , '",I12,"' , ",J12,",",K12)</f>
        <v>EXECUTE [dbo].[PG_CI_STATE_GEO] 0, 10, 139, 121, 'Chiang Mai', 'Chiang Mai' , 1 , '#121 // Chiang Mai' , 0,349</v>
      </c>
      <c r="N12" s="11"/>
    </row>
    <row r="13" spans="1:16" s="10" customFormat="1" x14ac:dyDescent="0.25">
      <c r="A13" s="19">
        <f t="shared" si="0"/>
        <v>11</v>
      </c>
      <c r="B13" s="20">
        <v>0</v>
      </c>
      <c r="C13" s="20">
        <v>10</v>
      </c>
      <c r="D13" s="20">
        <v>139</v>
      </c>
      <c r="E13" s="35">
        <f t="shared" si="1"/>
        <v>122</v>
      </c>
      <c r="F13" s="21" t="s">
        <v>217</v>
      </c>
      <c r="G13" s="22" t="s">
        <v>217</v>
      </c>
      <c r="H13" s="25">
        <v>1</v>
      </c>
      <c r="I13" s="33" t="str">
        <f>CONCATENATE("#",E13," // ",F13)</f>
        <v>#122 // Chiang Rai</v>
      </c>
      <c r="J13" s="25">
        <v>0</v>
      </c>
      <c r="K13" s="31">
        <f t="shared" si="2"/>
        <v>349</v>
      </c>
      <c r="M13" s="23" t="str">
        <f>CONCATENATE(CI_TAILANDIA!$P$1,E13,", '",F13,"', '",G13,"' , ",H13," , '",I13,"' , ",J13,",",K13)</f>
        <v>EXECUTE [dbo].[PG_CI_STATE_GEO] 0, 10, 139, 122, 'Chiang Rai', 'Chiang Rai' , 1 , '#122 // Chiang Rai' , 0,349</v>
      </c>
      <c r="N13" s="11"/>
    </row>
    <row r="14" spans="1:16" s="10" customFormat="1" x14ac:dyDescent="0.25">
      <c r="A14" s="19">
        <f t="shared" si="0"/>
        <v>12</v>
      </c>
      <c r="B14" s="20">
        <v>0</v>
      </c>
      <c r="C14" s="20">
        <v>10</v>
      </c>
      <c r="D14" s="20">
        <v>139</v>
      </c>
      <c r="E14" s="35">
        <f t="shared" si="1"/>
        <v>123</v>
      </c>
      <c r="F14" s="21" t="s">
        <v>274</v>
      </c>
      <c r="G14" s="21" t="s">
        <v>274</v>
      </c>
      <c r="H14" s="25">
        <v>1</v>
      </c>
      <c r="I14" s="33" t="str">
        <f>CONCATENATE("#",E14," // ",F14)</f>
        <v>#123 // Chon Buri</v>
      </c>
      <c r="J14" s="25">
        <v>1</v>
      </c>
      <c r="K14" s="31">
        <f t="shared" si="2"/>
        <v>349</v>
      </c>
      <c r="M14" s="23" t="str">
        <f>CONCATENATE(CI_TAILANDIA!$P$1,E14,", '",F14,"', '",G14,"' , ",H14," , '",I14,"' , ",J14,",",K14)</f>
        <v>EXECUTE [dbo].[PG_CI_STATE_GEO] 0, 10, 139, 123, 'Chon Buri', 'Chon Buri' , 1 , '#123 // Chon Buri' , 1,349</v>
      </c>
      <c r="N14" s="11"/>
    </row>
    <row r="15" spans="1:16" s="10" customFormat="1" x14ac:dyDescent="0.25">
      <c r="A15" s="19">
        <f t="shared" si="0"/>
        <v>13</v>
      </c>
      <c r="B15" s="20">
        <v>0</v>
      </c>
      <c r="C15" s="20">
        <v>10</v>
      </c>
      <c r="D15" s="20">
        <v>139</v>
      </c>
      <c r="E15" s="35">
        <f t="shared" si="1"/>
        <v>124</v>
      </c>
      <c r="F15" s="21" t="s">
        <v>279</v>
      </c>
      <c r="G15" s="22" t="s">
        <v>279</v>
      </c>
      <c r="H15" s="25">
        <v>1</v>
      </c>
      <c r="I15" s="33" t="str">
        <f>CONCATENATE("#",E15," // ",F15)</f>
        <v>#124 // Chumphon</v>
      </c>
      <c r="J15" s="25">
        <v>0</v>
      </c>
      <c r="K15" s="31">
        <f t="shared" si="2"/>
        <v>349</v>
      </c>
      <c r="M15" s="23" t="str">
        <f>CONCATENATE(CI_TAILANDIA!$P$1,E15,", '",F15,"', '",G15,"' , ",H15," , '",I15,"' , ",J15,",",K15)</f>
        <v>EXECUTE [dbo].[PG_CI_STATE_GEO] 0, 10, 139, 124, 'Chumphon', 'Chumphon' , 1 , '#124 // Chumphon' , 0,349</v>
      </c>
      <c r="N15" s="11"/>
    </row>
    <row r="16" spans="1:16" s="10" customFormat="1" x14ac:dyDescent="0.25">
      <c r="A16" s="19">
        <f t="shared" si="0"/>
        <v>14</v>
      </c>
      <c r="B16" s="20">
        <v>0</v>
      </c>
      <c r="C16" s="20">
        <v>10</v>
      </c>
      <c r="D16" s="20">
        <v>139</v>
      </c>
      <c r="E16" s="35">
        <f t="shared" si="1"/>
        <v>125</v>
      </c>
      <c r="F16" s="21" t="s">
        <v>236</v>
      </c>
      <c r="G16" s="22" t="s">
        <v>236</v>
      </c>
      <c r="H16" s="25">
        <v>1</v>
      </c>
      <c r="I16" s="33" t="str">
        <f>CONCATENATE("#",E16," // ",F16)</f>
        <v>#125 // Kalasin</v>
      </c>
      <c r="J16" s="25">
        <v>0</v>
      </c>
      <c r="K16" s="31">
        <f t="shared" si="2"/>
        <v>349</v>
      </c>
      <c r="M16" s="23" t="str">
        <f>CONCATENATE(CI_TAILANDIA!$P$1,E16,", '",F16,"', '",G16,"' , ",H16," , '",I16,"' , ",J16,",",K16)</f>
        <v>EXECUTE [dbo].[PG_CI_STATE_GEO] 0, 10, 139, 125, 'Kalasin', 'Kalasin' , 1 , '#125 // Kalasin' , 0,349</v>
      </c>
      <c r="N16" s="11"/>
    </row>
    <row r="17" spans="1:14" s="10" customFormat="1" x14ac:dyDescent="0.25">
      <c r="A17" s="19">
        <f t="shared" si="0"/>
        <v>15</v>
      </c>
      <c r="B17" s="20">
        <v>0</v>
      </c>
      <c r="C17" s="20">
        <v>10</v>
      </c>
      <c r="D17" s="20">
        <v>139</v>
      </c>
      <c r="E17" s="35">
        <f t="shared" si="1"/>
        <v>126</v>
      </c>
      <c r="F17" s="21" t="s">
        <v>218</v>
      </c>
      <c r="G17" s="22" t="s">
        <v>218</v>
      </c>
      <c r="H17" s="25">
        <v>1</v>
      </c>
      <c r="I17" s="33" t="str">
        <f>CONCATENATE("#",E17," // ",F17)</f>
        <v>#126 // Kamphaeng Phet</v>
      </c>
      <c r="J17" s="25">
        <v>0</v>
      </c>
      <c r="K17" s="31">
        <f t="shared" si="2"/>
        <v>349</v>
      </c>
      <c r="M17" s="23" t="str">
        <f>CONCATENATE(CI_TAILANDIA!$P$1,E17,", '",F17,"', '",G17,"' , ",H17," , '",I17,"' , ",J17,",",K17)</f>
        <v>EXECUTE [dbo].[PG_CI_STATE_GEO] 0, 10, 139, 126, 'Kamphaeng Phet', 'Kamphaeng Phet' , 1 , '#126 // Kamphaeng Phet' , 0,349</v>
      </c>
      <c r="N17" s="11"/>
    </row>
    <row r="18" spans="1:14" s="10" customFormat="1" x14ac:dyDescent="0.25">
      <c r="A18" s="19">
        <f t="shared" si="0"/>
        <v>16</v>
      </c>
      <c r="B18" s="20">
        <v>0</v>
      </c>
      <c r="C18" s="20">
        <v>10</v>
      </c>
      <c r="D18" s="20">
        <v>139</v>
      </c>
      <c r="E18" s="35">
        <f t="shared" si="1"/>
        <v>127</v>
      </c>
      <c r="F18" s="21" t="s">
        <v>257</v>
      </c>
      <c r="G18" s="22" t="s">
        <v>257</v>
      </c>
      <c r="H18" s="25">
        <v>1</v>
      </c>
      <c r="I18" s="33" t="str">
        <f>CONCATENATE("#",E18," // ",F18)</f>
        <v>#127 // Kanchanaburi</v>
      </c>
      <c r="J18" s="25">
        <v>0</v>
      </c>
      <c r="K18" s="31">
        <f t="shared" si="2"/>
        <v>349</v>
      </c>
      <c r="M18" s="23" t="str">
        <f>CONCATENATE(CI_TAILANDIA!$P$1,E18,", '",F18,"', '",G18,"' , ",H18," , '",I18,"' , ",J18,",",K18)</f>
        <v>EXECUTE [dbo].[PG_CI_STATE_GEO] 0, 10, 139, 127, 'Kanchanaburi', 'Kanchanaburi' , 1 , '#127 // Kanchanaburi' , 0,349</v>
      </c>
      <c r="N18" s="11"/>
    </row>
    <row r="19" spans="1:14" s="10" customFormat="1" x14ac:dyDescent="0.25">
      <c r="A19" s="19">
        <f>+A18+1</f>
        <v>17</v>
      </c>
      <c r="B19" s="20">
        <v>0</v>
      </c>
      <c r="C19" s="20">
        <v>10</v>
      </c>
      <c r="D19" s="20">
        <v>139</v>
      </c>
      <c r="E19" s="35">
        <f>+E18+1</f>
        <v>128</v>
      </c>
      <c r="F19" s="21" t="s">
        <v>237</v>
      </c>
      <c r="G19" s="22" t="s">
        <v>237</v>
      </c>
      <c r="H19" s="25">
        <v>1</v>
      </c>
      <c r="I19" s="33" t="str">
        <f>CONCATENATE("#",E19," // ",F19)</f>
        <v>#128 // Khon Kaen</v>
      </c>
      <c r="J19" s="25">
        <v>0</v>
      </c>
      <c r="K19" s="31">
        <f t="shared" si="2"/>
        <v>349</v>
      </c>
      <c r="M19" s="23" t="str">
        <f>CONCATENATE(CI_TAILANDIA!$P$1,E19,", '",F19,"', '",G19,"' , ",H19," , '",I19,"' , ",J19,",",K19)</f>
        <v>EXECUTE [dbo].[PG_CI_STATE_GEO] 0, 10, 139, 128, 'Khon Kaen', 'Khon Kaen' , 1 , '#128 // Khon Kaen' , 0,349</v>
      </c>
      <c r="N19" s="11"/>
    </row>
    <row r="20" spans="1:14" s="10" customFormat="1" x14ac:dyDescent="0.25">
      <c r="A20" s="19">
        <f t="shared" ref="A20:A37" si="3">+A19+1</f>
        <v>18</v>
      </c>
      <c r="B20" s="20">
        <v>0</v>
      </c>
      <c r="C20" s="20">
        <v>10</v>
      </c>
      <c r="D20" s="20">
        <v>139</v>
      </c>
      <c r="E20" s="35">
        <f t="shared" ref="E20:E37" si="4">+E19+1</f>
        <v>129</v>
      </c>
      <c r="F20" s="21" t="s">
        <v>280</v>
      </c>
      <c r="G20" s="22" t="s">
        <v>280</v>
      </c>
      <c r="H20" s="25">
        <v>1</v>
      </c>
      <c r="I20" s="33" t="str">
        <f>CONCATENATE("#",E20," // ",F20)</f>
        <v>#129 // Krabi</v>
      </c>
      <c r="J20" s="25">
        <v>0</v>
      </c>
      <c r="K20" s="31">
        <f t="shared" si="2"/>
        <v>349</v>
      </c>
      <c r="M20" s="23" t="str">
        <f>CONCATENATE(CI_TAILANDIA!$P$1,E20,", '",F20,"', '",G20,"' , ",H20," , '",I20,"' , ",J20,",",K20)</f>
        <v>EXECUTE [dbo].[PG_CI_STATE_GEO] 0, 10, 139, 129, 'Krabi', 'Krabi' , 1 , '#129 // Krabi' , 0,349</v>
      </c>
      <c r="N20" s="11"/>
    </row>
    <row r="21" spans="1:14" s="10" customFormat="1" x14ac:dyDescent="0.25">
      <c r="A21" s="19">
        <f t="shared" si="3"/>
        <v>19</v>
      </c>
      <c r="B21" s="20">
        <v>0</v>
      </c>
      <c r="C21" s="20">
        <v>10</v>
      </c>
      <c r="D21" s="20">
        <v>139</v>
      </c>
      <c r="E21" s="35">
        <f t="shared" si="4"/>
        <v>130</v>
      </c>
      <c r="F21" s="21" t="s">
        <v>219</v>
      </c>
      <c r="G21" s="22" t="s">
        <v>219</v>
      </c>
      <c r="H21" s="25">
        <v>1</v>
      </c>
      <c r="I21" s="33" t="str">
        <f>CONCATENATE("#",E21," // ",F21)</f>
        <v>#130 // Lampang</v>
      </c>
      <c r="J21" s="25">
        <v>0</v>
      </c>
      <c r="K21" s="31">
        <f t="shared" si="2"/>
        <v>349</v>
      </c>
      <c r="M21" s="23" t="str">
        <f>CONCATENATE(CI_TAILANDIA!$P$1,E21,", '",F21,"', '",G21,"' , ",H21," , '",I21,"' , ",J21,",",K21)</f>
        <v>EXECUTE [dbo].[PG_CI_STATE_GEO] 0, 10, 139, 130, 'Lampang', 'Lampang' , 1 , '#130 // Lampang' , 0,349</v>
      </c>
      <c r="N21" s="11"/>
    </row>
    <row r="22" spans="1:14" s="10" customFormat="1" x14ac:dyDescent="0.25">
      <c r="A22" s="19">
        <f t="shared" si="3"/>
        <v>20</v>
      </c>
      <c r="B22" s="20">
        <v>0</v>
      </c>
      <c r="C22" s="20">
        <v>10</v>
      </c>
      <c r="D22" s="20">
        <v>139</v>
      </c>
      <c r="E22" s="35">
        <f t="shared" si="4"/>
        <v>131</v>
      </c>
      <c r="F22" s="21" t="s">
        <v>220</v>
      </c>
      <c r="G22" s="22" t="s">
        <v>220</v>
      </c>
      <c r="H22" s="25">
        <v>1</v>
      </c>
      <c r="I22" s="33" t="str">
        <f>CONCATENATE("#",E22," // ",F22)</f>
        <v>#131 // Lamphun</v>
      </c>
      <c r="J22" s="25">
        <v>0</v>
      </c>
      <c r="K22" s="31">
        <f t="shared" si="2"/>
        <v>349</v>
      </c>
      <c r="M22" s="23" t="str">
        <f>CONCATENATE(CI_TAILANDIA!$P$1,E22,", '",F22,"', '",G22,"' , ",H22," , '",I22,"' , ",J22,",",K22)</f>
        <v>EXECUTE [dbo].[PG_CI_STATE_GEO] 0, 10, 139, 131, 'Lamphun', 'Lamphun' , 1 , '#131 // Lamphun' , 0,349</v>
      </c>
      <c r="N22" s="11"/>
    </row>
    <row r="23" spans="1:14" s="10" customFormat="1" x14ac:dyDescent="0.25">
      <c r="A23" s="19">
        <f t="shared" si="3"/>
        <v>21</v>
      </c>
      <c r="B23" s="20">
        <v>0</v>
      </c>
      <c r="C23" s="20">
        <v>10</v>
      </c>
      <c r="D23" s="20">
        <v>139</v>
      </c>
      <c r="E23" s="35">
        <f t="shared" si="4"/>
        <v>132</v>
      </c>
      <c r="F23" s="21" t="s">
        <v>238</v>
      </c>
      <c r="G23" s="22" t="s">
        <v>238</v>
      </c>
      <c r="H23" s="25">
        <v>1</v>
      </c>
      <c r="I23" s="33" t="str">
        <f>CONCATENATE("#",E23," // ",F23)</f>
        <v>#132 // Loei</v>
      </c>
      <c r="J23" s="25">
        <v>0</v>
      </c>
      <c r="K23" s="31">
        <f t="shared" si="2"/>
        <v>349</v>
      </c>
      <c r="M23" s="23" t="str">
        <f>CONCATENATE(CI_TAILANDIA!$P$1,E23,", '",F23,"', '",G23,"' , ",H23," , '",I23,"' , ",J23,",",K23)</f>
        <v>EXECUTE [dbo].[PG_CI_STATE_GEO] 0, 10, 139, 132, 'Loei', 'Loei' , 1 , '#132 // Loei' , 0,349</v>
      </c>
      <c r="N23" s="11"/>
    </row>
    <row r="24" spans="1:14" s="10" customFormat="1" x14ac:dyDescent="0.25">
      <c r="A24" s="19">
        <f t="shared" si="3"/>
        <v>22</v>
      </c>
      <c r="B24" s="20">
        <v>0</v>
      </c>
      <c r="C24" s="20">
        <v>10</v>
      </c>
      <c r="D24" s="20">
        <v>139</v>
      </c>
      <c r="E24" s="35">
        <f t="shared" si="4"/>
        <v>133</v>
      </c>
      <c r="F24" s="21" t="s">
        <v>258</v>
      </c>
      <c r="G24" s="22" t="s">
        <v>258</v>
      </c>
      <c r="H24" s="25">
        <v>1</v>
      </c>
      <c r="I24" s="33" t="str">
        <f>CONCATENATE("#",E24," // ",F24)</f>
        <v>#133 // Lop Buri</v>
      </c>
      <c r="J24" s="25">
        <v>0</v>
      </c>
      <c r="K24" s="31">
        <f t="shared" si="2"/>
        <v>349</v>
      </c>
      <c r="M24" s="23" t="str">
        <f>CONCATENATE(CI_TAILANDIA!$P$1,E24,", '",F24,"', '",G24,"' , ",H24," , '",I24,"' , ",J24,",",K24)</f>
        <v>EXECUTE [dbo].[PG_CI_STATE_GEO] 0, 10, 139, 133, 'Lop Buri', 'Lop Buri' , 1 , '#133 // Lop Buri' , 0,349</v>
      </c>
      <c r="N24" s="11"/>
    </row>
    <row r="25" spans="1:14" s="10" customFormat="1" x14ac:dyDescent="0.25">
      <c r="A25" s="19">
        <f t="shared" si="3"/>
        <v>23</v>
      </c>
      <c r="B25" s="20">
        <v>0</v>
      </c>
      <c r="C25" s="20">
        <v>10</v>
      </c>
      <c r="D25" s="20">
        <v>139</v>
      </c>
      <c r="E25" s="35">
        <f t="shared" si="4"/>
        <v>134</v>
      </c>
      <c r="F25" s="21" t="s">
        <v>221</v>
      </c>
      <c r="G25" s="22" t="s">
        <v>221</v>
      </c>
      <c r="H25" s="25">
        <v>1</v>
      </c>
      <c r="I25" s="33" t="str">
        <f>CONCATENATE("#",E25," // ",F25)</f>
        <v>#134 // Mae Hong Son</v>
      </c>
      <c r="J25" s="25">
        <v>0</v>
      </c>
      <c r="K25" s="31">
        <f t="shared" si="2"/>
        <v>349</v>
      </c>
      <c r="M25" s="23" t="str">
        <f>CONCATENATE(CI_TAILANDIA!$P$1,E25,", '",F25,"', '",G25,"' , ",H25," , '",I25,"' , ",J25,",",K25)</f>
        <v>EXECUTE [dbo].[PG_CI_STATE_GEO] 0, 10, 139, 134, 'Mae Hong Son', 'Mae Hong Son' , 1 , '#134 // Mae Hong Son' , 0,349</v>
      </c>
      <c r="N25" s="11"/>
    </row>
    <row r="26" spans="1:14" s="10" customFormat="1" x14ac:dyDescent="0.25">
      <c r="A26" s="19">
        <f t="shared" si="3"/>
        <v>24</v>
      </c>
      <c r="B26" s="20">
        <v>0</v>
      </c>
      <c r="C26" s="20">
        <v>10</v>
      </c>
      <c r="D26" s="20">
        <v>139</v>
      </c>
      <c r="E26" s="35">
        <f t="shared" si="4"/>
        <v>135</v>
      </c>
      <c r="F26" s="21" t="s">
        <v>239</v>
      </c>
      <c r="G26" s="22" t="s">
        <v>239</v>
      </c>
      <c r="H26" s="25">
        <v>1</v>
      </c>
      <c r="I26" s="33" t="str">
        <f>CONCATENATE("#",E26," // ",F26)</f>
        <v>#135 // Maha Sarakham</v>
      </c>
      <c r="J26" s="25">
        <v>0</v>
      </c>
      <c r="K26" s="31">
        <f t="shared" si="2"/>
        <v>349</v>
      </c>
      <c r="M26" s="23" t="str">
        <f>CONCATENATE(CI_TAILANDIA!$P$1,E26,", '",F26,"', '",G26,"' , ",H26," , '",I26,"' , ",J26,",",K26)</f>
        <v>EXECUTE [dbo].[PG_CI_STATE_GEO] 0, 10, 139, 135, 'Maha Sarakham', 'Maha Sarakham' , 1 , '#135 // Maha Sarakham' , 0,349</v>
      </c>
      <c r="N26" s="11"/>
    </row>
    <row r="27" spans="1:14" s="10" customFormat="1" x14ac:dyDescent="0.25">
      <c r="A27" s="19">
        <f t="shared" si="3"/>
        <v>25</v>
      </c>
      <c r="B27" s="20">
        <v>0</v>
      </c>
      <c r="C27" s="20">
        <v>10</v>
      </c>
      <c r="D27" s="20">
        <v>139</v>
      </c>
      <c r="E27" s="35">
        <f t="shared" si="4"/>
        <v>136</v>
      </c>
      <c r="F27" s="21" t="s">
        <v>240</v>
      </c>
      <c r="G27" s="22" t="s">
        <v>240</v>
      </c>
      <c r="H27" s="25">
        <v>1</v>
      </c>
      <c r="I27" s="33" t="str">
        <f>CONCATENATE("#",E27," // ",F27)</f>
        <v>#136 // Mukdahan</v>
      </c>
      <c r="J27" s="25">
        <v>0</v>
      </c>
      <c r="K27" s="31">
        <f t="shared" si="2"/>
        <v>349</v>
      </c>
      <c r="M27" s="23" t="str">
        <f>CONCATENATE(CI_TAILANDIA!$P$1,E27,", '",F27,"', '",G27,"' , ",H27," , '",I27,"' , ",J27,",",K27)</f>
        <v>EXECUTE [dbo].[PG_CI_STATE_GEO] 0, 10, 139, 136, 'Mukdahan', 'Mukdahan' , 1 , '#136 // Mukdahan' , 0,349</v>
      </c>
      <c r="N27" s="11"/>
    </row>
    <row r="28" spans="1:14" s="10" customFormat="1" x14ac:dyDescent="0.25">
      <c r="A28" s="19">
        <f t="shared" si="3"/>
        <v>26</v>
      </c>
      <c r="B28" s="20">
        <v>0</v>
      </c>
      <c r="C28" s="20">
        <v>10</v>
      </c>
      <c r="D28" s="20">
        <v>139</v>
      </c>
      <c r="E28" s="35">
        <f t="shared" si="4"/>
        <v>137</v>
      </c>
      <c r="F28" s="21" t="s">
        <v>259</v>
      </c>
      <c r="G28" s="22" t="s">
        <v>259</v>
      </c>
      <c r="H28" s="25">
        <v>1</v>
      </c>
      <c r="I28" s="33" t="str">
        <f>CONCATENATE("#",E28," // ",F28)</f>
        <v>#137 // Nakhon Nayok</v>
      </c>
      <c r="J28" s="25">
        <v>0</v>
      </c>
      <c r="K28" s="31">
        <f t="shared" si="2"/>
        <v>349</v>
      </c>
      <c r="M28" s="23" t="str">
        <f>CONCATENATE(CI_TAILANDIA!$P$1,E28,", '",F28,"', '",G28,"' , ",H28," , '",I28,"' , ",J28,",",K28)</f>
        <v>EXECUTE [dbo].[PG_CI_STATE_GEO] 0, 10, 139, 137, 'Nakhon Nayok', 'Nakhon Nayok' , 1 , '#137 // Nakhon Nayok' , 0,349</v>
      </c>
      <c r="N28" s="11"/>
    </row>
    <row r="29" spans="1:14" s="10" customFormat="1" x14ac:dyDescent="0.25">
      <c r="A29" s="19">
        <f t="shared" si="3"/>
        <v>27</v>
      </c>
      <c r="B29" s="20">
        <v>0</v>
      </c>
      <c r="C29" s="20">
        <v>10</v>
      </c>
      <c r="D29" s="20">
        <v>139</v>
      </c>
      <c r="E29" s="35">
        <f t="shared" si="4"/>
        <v>138</v>
      </c>
      <c r="F29" s="21" t="s">
        <v>260</v>
      </c>
      <c r="G29" s="22" t="s">
        <v>260</v>
      </c>
      <c r="H29" s="25">
        <v>1</v>
      </c>
      <c r="I29" s="33" t="str">
        <f>CONCATENATE("#",E29," // ",F29)</f>
        <v>#138 // Nakhon Pathom</v>
      </c>
      <c r="J29" s="25">
        <v>0</v>
      </c>
      <c r="K29" s="31">
        <f t="shared" si="2"/>
        <v>349</v>
      </c>
      <c r="M29" s="23" t="str">
        <f>CONCATENATE(CI_TAILANDIA!$P$1,E29,", '",F29,"', '",G29,"' , ",H29," , '",I29,"' , ",J29,",",K29)</f>
        <v>EXECUTE [dbo].[PG_CI_STATE_GEO] 0, 10, 139, 138, 'Nakhon Pathom', 'Nakhon Pathom' , 1 , '#138 // Nakhon Pathom' , 0,349</v>
      </c>
      <c r="N29" s="11"/>
    </row>
    <row r="30" spans="1:14" s="10" customFormat="1" x14ac:dyDescent="0.25">
      <c r="A30" s="19">
        <f t="shared" si="3"/>
        <v>28</v>
      </c>
      <c r="B30" s="20">
        <v>0</v>
      </c>
      <c r="C30" s="20">
        <v>10</v>
      </c>
      <c r="D30" s="20">
        <v>139</v>
      </c>
      <c r="E30" s="35">
        <f t="shared" si="4"/>
        <v>139</v>
      </c>
      <c r="F30" s="21" t="s">
        <v>241</v>
      </c>
      <c r="G30" s="22" t="s">
        <v>241</v>
      </c>
      <c r="H30" s="25">
        <v>1</v>
      </c>
      <c r="I30" s="33" t="str">
        <f>CONCATENATE("#",E30," // ",F30)</f>
        <v>#139 // Nakhon Phanom</v>
      </c>
      <c r="J30" s="25">
        <v>0</v>
      </c>
      <c r="K30" s="31">
        <f t="shared" si="2"/>
        <v>349</v>
      </c>
      <c r="M30" s="23" t="str">
        <f>CONCATENATE(CI_TAILANDIA!$P$1,E30,", '",F30,"', '",G30,"' , ",H30," , '",I30,"' , ",J30,",",K30)</f>
        <v>EXECUTE [dbo].[PG_CI_STATE_GEO] 0, 10, 139, 139, 'Nakhon Phanom', 'Nakhon Phanom' , 1 , '#139 // Nakhon Phanom' , 0,349</v>
      </c>
      <c r="N30" s="11"/>
    </row>
    <row r="31" spans="1:14" s="10" customFormat="1" x14ac:dyDescent="0.25">
      <c r="A31" s="19">
        <f t="shared" si="3"/>
        <v>29</v>
      </c>
      <c r="B31" s="20">
        <v>0</v>
      </c>
      <c r="C31" s="20">
        <v>10</v>
      </c>
      <c r="D31" s="20">
        <v>139</v>
      </c>
      <c r="E31" s="35">
        <f t="shared" si="4"/>
        <v>140</v>
      </c>
      <c r="F31" s="21" t="s">
        <v>242</v>
      </c>
      <c r="G31" s="22" t="s">
        <v>242</v>
      </c>
      <c r="H31" s="25">
        <v>1</v>
      </c>
      <c r="I31" s="33" t="str">
        <f>CONCATENATE("#",E31," // ",F31)</f>
        <v>#140 // Nakhon Ratchasima</v>
      </c>
      <c r="J31" s="25">
        <v>0</v>
      </c>
      <c r="K31" s="31">
        <f t="shared" si="2"/>
        <v>349</v>
      </c>
      <c r="M31" s="23" t="str">
        <f>CONCATENATE(CI_TAILANDIA!$P$1,E31,", '",F31,"', '",G31,"' , ",H31," , '",I31,"' , ",J31,",",K31)</f>
        <v>EXECUTE [dbo].[PG_CI_STATE_GEO] 0, 10, 139, 140, 'Nakhon Ratchasima', 'Nakhon Ratchasima' , 1 , '#140 // Nakhon Ratchasima' , 0,349</v>
      </c>
      <c r="N31" s="11"/>
    </row>
    <row r="32" spans="1:14" s="10" customFormat="1" x14ac:dyDescent="0.25">
      <c r="A32" s="19">
        <f t="shared" si="3"/>
        <v>30</v>
      </c>
      <c r="B32" s="20">
        <v>0</v>
      </c>
      <c r="C32" s="20">
        <v>10</v>
      </c>
      <c r="D32" s="20">
        <v>139</v>
      </c>
      <c r="E32" s="35">
        <f t="shared" si="4"/>
        <v>141</v>
      </c>
      <c r="F32" s="21" t="s">
        <v>222</v>
      </c>
      <c r="G32" s="22" t="s">
        <v>222</v>
      </c>
      <c r="H32" s="25">
        <v>1</v>
      </c>
      <c r="I32" s="33" t="str">
        <f>CONCATENATE("#",E32," // ",F32)</f>
        <v>#141 // Nakhon Sawan</v>
      </c>
      <c r="J32" s="25">
        <v>0</v>
      </c>
      <c r="K32" s="31">
        <f t="shared" si="2"/>
        <v>349</v>
      </c>
      <c r="M32" s="23" t="str">
        <f>CONCATENATE(CI_TAILANDIA!$P$1,E32,", '",F32,"', '",G32,"' , ",H32," , '",I32,"' , ",J32,",",K32)</f>
        <v>EXECUTE [dbo].[PG_CI_STATE_GEO] 0, 10, 139, 141, 'Nakhon Sawan', 'Nakhon Sawan' , 1 , '#141 // Nakhon Sawan' , 0,349</v>
      </c>
      <c r="N32" s="11"/>
    </row>
    <row r="33" spans="1:14" s="10" customFormat="1" x14ac:dyDescent="0.25">
      <c r="A33" s="19">
        <f t="shared" si="3"/>
        <v>31</v>
      </c>
      <c r="B33" s="20">
        <v>0</v>
      </c>
      <c r="C33" s="20">
        <v>10</v>
      </c>
      <c r="D33" s="20">
        <v>139</v>
      </c>
      <c r="E33" s="35">
        <f t="shared" si="4"/>
        <v>142</v>
      </c>
      <c r="F33" s="21" t="s">
        <v>281</v>
      </c>
      <c r="G33" s="22" t="s">
        <v>281</v>
      </c>
      <c r="H33" s="25">
        <v>1</v>
      </c>
      <c r="I33" s="33" t="str">
        <f>CONCATENATE("#",E33," // ",F33)</f>
        <v>#142 // Nakhon Si Thammarat</v>
      </c>
      <c r="J33" s="25">
        <v>0</v>
      </c>
      <c r="K33" s="31">
        <f t="shared" si="2"/>
        <v>349</v>
      </c>
      <c r="M33" s="23" t="str">
        <f>CONCATENATE(CI_TAILANDIA!$P$1,E33,", '",F33,"', '",G33,"' , ",H33," , '",I33,"' , ",J33,",",K33)</f>
        <v>EXECUTE [dbo].[PG_CI_STATE_GEO] 0, 10, 139, 142, 'Nakhon Si Thammarat', 'Nakhon Si Thammarat' , 1 , '#142 // Nakhon Si Thammarat' , 0,349</v>
      </c>
      <c r="N33" s="11"/>
    </row>
    <row r="34" spans="1:14" s="10" customFormat="1" x14ac:dyDescent="0.25">
      <c r="A34" s="19">
        <f t="shared" si="3"/>
        <v>32</v>
      </c>
      <c r="B34" s="20">
        <v>0</v>
      </c>
      <c r="C34" s="20">
        <v>10</v>
      </c>
      <c r="D34" s="20">
        <v>139</v>
      </c>
      <c r="E34" s="35">
        <f t="shared" si="4"/>
        <v>143</v>
      </c>
      <c r="F34" s="21" t="s">
        <v>223</v>
      </c>
      <c r="G34" s="22" t="s">
        <v>223</v>
      </c>
      <c r="H34" s="25">
        <v>1</v>
      </c>
      <c r="I34" s="33" t="str">
        <f>CONCATENATE("#",E34," // ",F34)</f>
        <v>#143 // Nan</v>
      </c>
      <c r="J34" s="25">
        <v>0</v>
      </c>
      <c r="K34" s="31">
        <f t="shared" si="2"/>
        <v>349</v>
      </c>
      <c r="M34" s="23" t="str">
        <f>CONCATENATE(CI_TAILANDIA!$P$1,E34,", '",F34,"', '",G34,"' , ",H34," , '",I34,"' , ",J34,",",K34)</f>
        <v>EXECUTE [dbo].[PG_CI_STATE_GEO] 0, 10, 139, 143, 'Nan', 'Nan' , 1 , '#143 // Nan' , 0,349</v>
      </c>
      <c r="N34" s="11"/>
    </row>
    <row r="35" spans="1:14" s="10" customFormat="1" x14ac:dyDescent="0.25">
      <c r="A35" s="19">
        <f t="shared" si="3"/>
        <v>33</v>
      </c>
      <c r="B35" s="20">
        <v>0</v>
      </c>
      <c r="C35" s="20">
        <v>10</v>
      </c>
      <c r="D35" s="20">
        <v>139</v>
      </c>
      <c r="E35" s="35">
        <f t="shared" si="4"/>
        <v>144</v>
      </c>
      <c r="F35" s="21" t="s">
        <v>282</v>
      </c>
      <c r="G35" s="22" t="s">
        <v>282</v>
      </c>
      <c r="H35" s="25">
        <v>1</v>
      </c>
      <c r="I35" s="33" t="str">
        <f>CONCATENATE("#",E35," // ",F35)</f>
        <v>#144 // Narathiwat</v>
      </c>
      <c r="J35" s="25">
        <v>0</v>
      </c>
      <c r="K35" s="31">
        <f t="shared" si="2"/>
        <v>349</v>
      </c>
      <c r="M35" s="23" t="str">
        <f>CONCATENATE(CI_TAILANDIA!$P$1,E35,", '",F35,"', '",G35,"' , ",H35," , '",I35,"' , ",J35,",",K35)</f>
        <v>EXECUTE [dbo].[PG_CI_STATE_GEO] 0, 10, 139, 144, 'Narathiwat', 'Narathiwat' , 1 , '#144 // Narathiwat' , 0,349</v>
      </c>
      <c r="N35" s="11"/>
    </row>
    <row r="36" spans="1:14" s="10" customFormat="1" x14ac:dyDescent="0.25">
      <c r="A36" s="19">
        <f t="shared" si="3"/>
        <v>34</v>
      </c>
      <c r="B36" s="20">
        <v>0</v>
      </c>
      <c r="C36" s="20">
        <v>10</v>
      </c>
      <c r="D36" s="20">
        <v>139</v>
      </c>
      <c r="E36" s="35">
        <f t="shared" si="4"/>
        <v>145</v>
      </c>
      <c r="F36" s="21" t="s">
        <v>243</v>
      </c>
      <c r="G36" s="22" t="s">
        <v>243</v>
      </c>
      <c r="H36" s="25">
        <v>1</v>
      </c>
      <c r="I36" s="33" t="str">
        <f>CONCATENATE("#",E36," // ",F36)</f>
        <v>#145 // Nong Bua Lam Phu</v>
      </c>
      <c r="J36" s="25">
        <v>0</v>
      </c>
      <c r="K36" s="31">
        <f t="shared" si="2"/>
        <v>349</v>
      </c>
      <c r="M36" s="23" t="str">
        <f>CONCATENATE(CI_TAILANDIA!$P$1,E36,", '",F36,"', '",G36,"' , ",H36," , '",I36,"' , ",J36,",",K36)</f>
        <v>EXECUTE [dbo].[PG_CI_STATE_GEO] 0, 10, 139, 145, 'Nong Bua Lam Phu', 'Nong Bua Lam Phu' , 1 , '#145 // Nong Bua Lam Phu' , 0,349</v>
      </c>
      <c r="N36" s="11"/>
    </row>
    <row r="37" spans="1:14" s="10" customFormat="1" x14ac:dyDescent="0.25">
      <c r="A37" s="19">
        <f t="shared" si="3"/>
        <v>35</v>
      </c>
      <c r="B37" s="20">
        <v>0</v>
      </c>
      <c r="C37" s="20">
        <v>10</v>
      </c>
      <c r="D37" s="20">
        <v>139</v>
      </c>
      <c r="E37" s="35">
        <f t="shared" si="4"/>
        <v>146</v>
      </c>
      <c r="F37" s="21" t="s">
        <v>244</v>
      </c>
      <c r="G37" s="22" t="s">
        <v>244</v>
      </c>
      <c r="H37" s="25">
        <v>1</v>
      </c>
      <c r="I37" s="33" t="str">
        <f>CONCATENATE("#",E37," // ",F37)</f>
        <v>#146 // Nong Khai</v>
      </c>
      <c r="J37" s="25">
        <v>0</v>
      </c>
      <c r="K37" s="31">
        <f t="shared" si="2"/>
        <v>349</v>
      </c>
      <c r="M37" s="23" t="str">
        <f>CONCATENATE(CI_TAILANDIA!$P$1,E37,", '",F37,"', '",G37,"' , ",H37," , '",I37,"' , ",J37,",",K37)</f>
        <v>EXECUTE [dbo].[PG_CI_STATE_GEO] 0, 10, 139, 146, 'Nong Khai', 'Nong Khai' , 1 , '#146 // Nong Khai' , 0,349</v>
      </c>
      <c r="N37" s="11"/>
    </row>
    <row r="38" spans="1:14" s="10" customFormat="1" x14ac:dyDescent="0.25">
      <c r="A38" s="19">
        <f>+A37+1</f>
        <v>36</v>
      </c>
      <c r="B38" s="20">
        <v>0</v>
      </c>
      <c r="C38" s="20">
        <v>10</v>
      </c>
      <c r="D38" s="20">
        <v>139</v>
      </c>
      <c r="E38" s="35">
        <f>+E37+1</f>
        <v>147</v>
      </c>
      <c r="F38" s="21" t="s">
        <v>261</v>
      </c>
      <c r="G38" s="22" t="s">
        <v>261</v>
      </c>
      <c r="H38" s="25">
        <v>1</v>
      </c>
      <c r="I38" s="33" t="str">
        <f>CONCATENATE("#",E38," // ",F38)</f>
        <v>#147 // Nonthaburi</v>
      </c>
      <c r="J38" s="25">
        <v>0</v>
      </c>
      <c r="K38" s="31">
        <f t="shared" si="2"/>
        <v>349</v>
      </c>
      <c r="M38" s="23" t="str">
        <f>CONCATENATE(CI_TAILANDIA!$P$1,E38,", '",F38,"', '",G38,"' , ",H38," , '",I38,"' , ",J38,",",K38)</f>
        <v>EXECUTE [dbo].[PG_CI_STATE_GEO] 0, 10, 139, 147, 'Nonthaburi', 'Nonthaburi' , 1 , '#147 // Nonthaburi' , 0,349</v>
      </c>
      <c r="N38" s="11"/>
    </row>
    <row r="39" spans="1:14" s="10" customFormat="1" x14ac:dyDescent="0.25">
      <c r="A39" s="19">
        <f t="shared" ref="A39:A56" si="5">+A38+1</f>
        <v>37</v>
      </c>
      <c r="B39" s="20">
        <v>0</v>
      </c>
      <c r="C39" s="20">
        <v>10</v>
      </c>
      <c r="D39" s="20">
        <v>139</v>
      </c>
      <c r="E39" s="35">
        <f t="shared" ref="E39:E56" si="6">+E38+1</f>
        <v>148</v>
      </c>
      <c r="F39" s="21" t="s">
        <v>262</v>
      </c>
      <c r="G39" s="22" t="s">
        <v>262</v>
      </c>
      <c r="H39" s="25">
        <v>1</v>
      </c>
      <c r="I39" s="33" t="str">
        <f>CONCATENATE("#",E39," // ",F39)</f>
        <v>#148 // Pathum Thani</v>
      </c>
      <c r="J39" s="25">
        <v>0</v>
      </c>
      <c r="K39" s="31">
        <f t="shared" si="2"/>
        <v>349</v>
      </c>
      <c r="M39" s="23" t="str">
        <f>CONCATENATE(CI_TAILANDIA!$P$1,E39,", '",F39,"', '",G39,"' , ",H39," , '",I39,"' , ",J39,",",K39)</f>
        <v>EXECUTE [dbo].[PG_CI_STATE_GEO] 0, 10, 139, 148, 'Pathum Thani', 'Pathum Thani' , 1 , '#148 // Pathum Thani' , 0,349</v>
      </c>
      <c r="N39" s="11"/>
    </row>
    <row r="40" spans="1:14" s="10" customFormat="1" x14ac:dyDescent="0.25">
      <c r="A40" s="19">
        <f t="shared" si="5"/>
        <v>38</v>
      </c>
      <c r="B40" s="20">
        <v>0</v>
      </c>
      <c r="C40" s="20">
        <v>10</v>
      </c>
      <c r="D40" s="20">
        <v>139</v>
      </c>
      <c r="E40" s="35">
        <f t="shared" si="6"/>
        <v>149</v>
      </c>
      <c r="F40" s="21" t="s">
        <v>283</v>
      </c>
      <c r="G40" s="22" t="s">
        <v>283</v>
      </c>
      <c r="H40" s="25">
        <v>1</v>
      </c>
      <c r="I40" s="33" t="str">
        <f>CONCATENATE("#",E40," // ",F40)</f>
        <v>#149 // Pattani</v>
      </c>
      <c r="J40" s="25">
        <v>0</v>
      </c>
      <c r="K40" s="31">
        <f t="shared" si="2"/>
        <v>349</v>
      </c>
      <c r="M40" s="23" t="str">
        <f>CONCATENATE(CI_TAILANDIA!$P$1,E40,", '",F40,"', '",G40,"' , ",H40," , '",I40,"' , ",J40,",",K40)</f>
        <v>EXECUTE [dbo].[PG_CI_STATE_GEO] 0, 10, 139, 149, 'Pattani', 'Pattani' , 1 , '#149 // Pattani' , 0,349</v>
      </c>
      <c r="N40" s="11"/>
    </row>
    <row r="41" spans="1:14" s="10" customFormat="1" x14ac:dyDescent="0.25">
      <c r="A41" s="19">
        <f t="shared" si="5"/>
        <v>39</v>
      </c>
      <c r="B41" s="20">
        <v>0</v>
      </c>
      <c r="C41" s="20">
        <v>10</v>
      </c>
      <c r="D41" s="20">
        <v>139</v>
      </c>
      <c r="E41" s="35">
        <f t="shared" si="6"/>
        <v>150</v>
      </c>
      <c r="F41" s="21" t="s">
        <v>284</v>
      </c>
      <c r="G41" s="22" t="s">
        <v>284</v>
      </c>
      <c r="H41" s="25">
        <v>1</v>
      </c>
      <c r="I41" s="33" t="str">
        <f>CONCATENATE("#",E41," // ",F41)</f>
        <v>#150 // Phang Nga</v>
      </c>
      <c r="J41" s="25">
        <v>0</v>
      </c>
      <c r="K41" s="31">
        <f t="shared" si="2"/>
        <v>349</v>
      </c>
      <c r="M41" s="23" t="str">
        <f>CONCATENATE(CI_TAILANDIA!$P$1,E41,", '",F41,"', '",G41,"' , ",H41," , '",I41,"' , ",J41,",",K41)</f>
        <v>EXECUTE [dbo].[PG_CI_STATE_GEO] 0, 10, 139, 150, 'Phang Nga', 'Phang Nga' , 1 , '#150 // Phang Nga' , 0,349</v>
      </c>
      <c r="N41" s="11"/>
    </row>
    <row r="42" spans="1:14" s="10" customFormat="1" x14ac:dyDescent="0.25">
      <c r="A42" s="19">
        <f t="shared" si="5"/>
        <v>40</v>
      </c>
      <c r="B42" s="20">
        <v>0</v>
      </c>
      <c r="C42" s="20">
        <v>10</v>
      </c>
      <c r="D42" s="20">
        <v>139</v>
      </c>
      <c r="E42" s="35">
        <f t="shared" si="6"/>
        <v>151</v>
      </c>
      <c r="F42" s="21" t="s">
        <v>285</v>
      </c>
      <c r="G42" s="22" t="s">
        <v>285</v>
      </c>
      <c r="H42" s="25">
        <v>1</v>
      </c>
      <c r="I42" s="33" t="str">
        <f>CONCATENATE("#",E42," // ",F42)</f>
        <v>#151 // Phatthalung</v>
      </c>
      <c r="J42" s="25">
        <v>0</v>
      </c>
      <c r="K42" s="31">
        <f t="shared" si="2"/>
        <v>349</v>
      </c>
      <c r="M42" s="23" t="str">
        <f>CONCATENATE(CI_TAILANDIA!$P$1,E42,", '",F42,"', '",G42,"' , ",H42," , '",I42,"' , ",J42,",",K42)</f>
        <v>EXECUTE [dbo].[PG_CI_STATE_GEO] 0, 10, 139, 151, 'Phatthalung', 'Phatthalung' , 1 , '#151 // Phatthalung' , 0,349</v>
      </c>
      <c r="N42" s="11"/>
    </row>
    <row r="43" spans="1:14" s="10" customFormat="1" x14ac:dyDescent="0.25">
      <c r="A43" s="19">
        <f t="shared" si="5"/>
        <v>41</v>
      </c>
      <c r="B43" s="20">
        <v>0</v>
      </c>
      <c r="C43" s="20">
        <v>10</v>
      </c>
      <c r="D43" s="20">
        <v>139</v>
      </c>
      <c r="E43" s="35">
        <f t="shared" si="6"/>
        <v>152</v>
      </c>
      <c r="F43" s="21" t="s">
        <v>224</v>
      </c>
      <c r="G43" s="22" t="s">
        <v>224</v>
      </c>
      <c r="H43" s="25">
        <v>1</v>
      </c>
      <c r="I43" s="33" t="str">
        <f>CONCATENATE("#",E43," // ",F43)</f>
        <v>#152 // Phayao</v>
      </c>
      <c r="J43" s="25">
        <v>0</v>
      </c>
      <c r="K43" s="31">
        <f t="shared" si="2"/>
        <v>349</v>
      </c>
      <c r="M43" s="23" t="str">
        <f>CONCATENATE(CI_TAILANDIA!$P$1,E43,", '",F43,"', '",G43,"' , ",H43," , '",I43,"' , ",J43,",",K43)</f>
        <v>EXECUTE [dbo].[PG_CI_STATE_GEO] 0, 10, 139, 152, 'Phayao', 'Phayao' , 1 , '#152 // Phayao' , 0,349</v>
      </c>
      <c r="N43" s="11"/>
    </row>
    <row r="44" spans="1:14" s="10" customFormat="1" x14ac:dyDescent="0.25">
      <c r="A44" s="19">
        <f t="shared" si="5"/>
        <v>42</v>
      </c>
      <c r="B44" s="20">
        <v>0</v>
      </c>
      <c r="C44" s="20">
        <v>10</v>
      </c>
      <c r="D44" s="20">
        <v>139</v>
      </c>
      <c r="E44" s="35">
        <f t="shared" si="6"/>
        <v>153</v>
      </c>
      <c r="F44" s="21" t="s">
        <v>225</v>
      </c>
      <c r="G44" s="22" t="s">
        <v>225</v>
      </c>
      <c r="H44" s="25">
        <v>1</v>
      </c>
      <c r="I44" s="33" t="str">
        <f>CONCATENATE("#",E44," // ",F44)</f>
        <v>#153 // Phetchabun</v>
      </c>
      <c r="J44" s="25">
        <v>0</v>
      </c>
      <c r="K44" s="31">
        <f t="shared" si="2"/>
        <v>349</v>
      </c>
      <c r="M44" s="23" t="str">
        <f>CONCATENATE(CI_TAILANDIA!$P$1,E44,", '",F44,"', '",G44,"' , ",H44," , '",I44,"' , ",J44,",",K44)</f>
        <v>EXECUTE [dbo].[PG_CI_STATE_GEO] 0, 10, 139, 153, 'Phetchabun', 'Phetchabun' , 1 , '#153 // Phetchabun' , 0,349</v>
      </c>
      <c r="N44" s="11"/>
    </row>
    <row r="45" spans="1:14" s="10" customFormat="1" x14ac:dyDescent="0.25">
      <c r="A45" s="19">
        <f t="shared" si="5"/>
        <v>43</v>
      </c>
      <c r="B45" s="20">
        <v>0</v>
      </c>
      <c r="C45" s="20">
        <v>10</v>
      </c>
      <c r="D45" s="20">
        <v>139</v>
      </c>
      <c r="E45" s="35">
        <f t="shared" si="6"/>
        <v>154</v>
      </c>
      <c r="F45" s="21" t="s">
        <v>263</v>
      </c>
      <c r="G45" s="22" t="s">
        <v>263</v>
      </c>
      <c r="H45" s="25">
        <v>1</v>
      </c>
      <c r="I45" s="33" t="str">
        <f>CONCATENATE("#",E45," // ",F45)</f>
        <v>#154 // Phetchaburi</v>
      </c>
      <c r="J45" s="25">
        <v>0</v>
      </c>
      <c r="K45" s="31">
        <f t="shared" si="2"/>
        <v>349</v>
      </c>
      <c r="M45" s="23" t="str">
        <f>CONCATENATE(CI_TAILANDIA!$P$1,E45,", '",F45,"', '",G45,"' , ",H45," , '",I45,"' , ",J45,",",K45)</f>
        <v>EXECUTE [dbo].[PG_CI_STATE_GEO] 0, 10, 139, 154, 'Phetchaburi', 'Phetchaburi' , 1 , '#154 // Phetchaburi' , 0,349</v>
      </c>
      <c r="N45" s="11"/>
    </row>
    <row r="46" spans="1:14" s="10" customFormat="1" x14ac:dyDescent="0.25">
      <c r="A46" s="19">
        <f t="shared" si="5"/>
        <v>44</v>
      </c>
      <c r="B46" s="20">
        <v>0</v>
      </c>
      <c r="C46" s="20">
        <v>10</v>
      </c>
      <c r="D46" s="20">
        <v>139</v>
      </c>
      <c r="E46" s="35">
        <f t="shared" si="6"/>
        <v>155</v>
      </c>
      <c r="F46" s="21" t="s">
        <v>226</v>
      </c>
      <c r="G46" s="22" t="s">
        <v>226</v>
      </c>
      <c r="H46" s="25">
        <v>1</v>
      </c>
      <c r="I46" s="33" t="str">
        <f>CONCATENATE("#",E46," // ",F46)</f>
        <v>#155 // Phichit</v>
      </c>
      <c r="J46" s="25">
        <v>0</v>
      </c>
      <c r="K46" s="31">
        <f t="shared" si="2"/>
        <v>349</v>
      </c>
      <c r="M46" s="23" t="str">
        <f>CONCATENATE(CI_TAILANDIA!$P$1,E46,", '",F46,"', '",G46,"' , ",H46," , '",I46,"' , ",J46,",",K46)</f>
        <v>EXECUTE [dbo].[PG_CI_STATE_GEO] 0, 10, 139, 155, 'Phichit', 'Phichit' , 1 , '#155 // Phichit' , 0,349</v>
      </c>
      <c r="N46" s="11"/>
    </row>
    <row r="47" spans="1:14" s="10" customFormat="1" x14ac:dyDescent="0.25">
      <c r="A47" s="19">
        <f t="shared" si="5"/>
        <v>45</v>
      </c>
      <c r="B47" s="20">
        <v>0</v>
      </c>
      <c r="C47" s="20">
        <v>10</v>
      </c>
      <c r="D47" s="20">
        <v>139</v>
      </c>
      <c r="E47" s="35">
        <f t="shared" si="6"/>
        <v>156</v>
      </c>
      <c r="F47" s="21" t="s">
        <v>227</v>
      </c>
      <c r="G47" s="22" t="s">
        <v>227</v>
      </c>
      <c r="H47" s="25">
        <v>1</v>
      </c>
      <c r="I47" s="33" t="str">
        <f>CONCATENATE("#",E47," // ",F47)</f>
        <v>#156 // Phitsanulok</v>
      </c>
      <c r="J47" s="25">
        <v>0</v>
      </c>
      <c r="K47" s="31">
        <f t="shared" si="2"/>
        <v>349</v>
      </c>
      <c r="M47" s="23" t="str">
        <f>CONCATENATE(CI_TAILANDIA!$P$1,E47,", '",F47,"', '",G47,"' , ",H47," , '",I47,"' , ",J47,",",K47)</f>
        <v>EXECUTE [dbo].[PG_CI_STATE_GEO] 0, 10, 139, 156, 'Phitsanulok', 'Phitsanulok' , 1 , '#156 // Phitsanulok' , 0,349</v>
      </c>
      <c r="N47" s="11"/>
    </row>
    <row r="48" spans="1:14" s="10" customFormat="1" x14ac:dyDescent="0.25">
      <c r="A48" s="19">
        <f t="shared" si="5"/>
        <v>46</v>
      </c>
      <c r="B48" s="20">
        <v>0</v>
      </c>
      <c r="C48" s="20">
        <v>10</v>
      </c>
      <c r="D48" s="20">
        <v>139</v>
      </c>
      <c r="E48" s="35">
        <f t="shared" si="6"/>
        <v>157</v>
      </c>
      <c r="F48" s="21" t="s">
        <v>254</v>
      </c>
      <c r="G48" s="22" t="s">
        <v>254</v>
      </c>
      <c r="H48" s="25">
        <v>1</v>
      </c>
      <c r="I48" s="33" t="str">
        <f>CONCATENATE("#",E48," // ",F48)</f>
        <v>#157 // Phra Nakhon Si Ayutthaya</v>
      </c>
      <c r="J48" s="25">
        <v>0</v>
      </c>
      <c r="K48" s="31">
        <f t="shared" si="2"/>
        <v>349</v>
      </c>
      <c r="M48" s="23" t="str">
        <f>CONCATENATE(CI_TAILANDIA!$P$1,E48,", '",F48,"', '",G48,"' , ",H48," , '",I48,"' , ",J48,",",K48)</f>
        <v>EXECUTE [dbo].[PG_CI_STATE_GEO] 0, 10, 139, 157, 'Phra Nakhon Si Ayutthaya', 'Phra Nakhon Si Ayutthaya' , 1 , '#157 // Phra Nakhon Si Ayutthaya' , 0,349</v>
      </c>
      <c r="N48" s="11"/>
    </row>
    <row r="49" spans="1:14" s="10" customFormat="1" x14ac:dyDescent="0.25">
      <c r="A49" s="19">
        <f t="shared" si="5"/>
        <v>47</v>
      </c>
      <c r="B49" s="20">
        <v>0</v>
      </c>
      <c r="C49" s="20">
        <v>10</v>
      </c>
      <c r="D49" s="20">
        <v>139</v>
      </c>
      <c r="E49" s="35">
        <f t="shared" si="6"/>
        <v>158</v>
      </c>
      <c r="F49" s="21" t="s">
        <v>228</v>
      </c>
      <c r="G49" s="22" t="s">
        <v>228</v>
      </c>
      <c r="H49" s="25">
        <v>1</v>
      </c>
      <c r="I49" s="33" t="str">
        <f>CONCATENATE("#",E49," // ",F49)</f>
        <v>#158 // Phrae</v>
      </c>
      <c r="J49" s="25">
        <v>0</v>
      </c>
      <c r="K49" s="31">
        <f t="shared" si="2"/>
        <v>349</v>
      </c>
      <c r="M49" s="23" t="str">
        <f>CONCATENATE(CI_TAILANDIA!$P$1,E49,", '",F49,"', '",G49,"' , ",H49," , '",I49,"' , ",J49,",",K49)</f>
        <v>EXECUTE [dbo].[PG_CI_STATE_GEO] 0, 10, 139, 158, 'Phrae', 'Phrae' , 1 , '#158 // Phrae' , 0,349</v>
      </c>
      <c r="N49" s="11"/>
    </row>
    <row r="50" spans="1:14" s="10" customFormat="1" x14ac:dyDescent="0.25">
      <c r="A50" s="19">
        <f t="shared" si="5"/>
        <v>48</v>
      </c>
      <c r="B50" s="20">
        <v>0</v>
      </c>
      <c r="C50" s="20">
        <v>10</v>
      </c>
      <c r="D50" s="20">
        <v>139</v>
      </c>
      <c r="E50" s="35">
        <f t="shared" si="6"/>
        <v>159</v>
      </c>
      <c r="F50" s="21" t="s">
        <v>286</v>
      </c>
      <c r="G50" s="22" t="s">
        <v>286</v>
      </c>
      <c r="H50" s="25">
        <v>1</v>
      </c>
      <c r="I50" s="33" t="str">
        <f>CONCATENATE("#",E50," // ",F50)</f>
        <v>#159 // Phuket</v>
      </c>
      <c r="J50" s="25">
        <v>0</v>
      </c>
      <c r="K50" s="31">
        <f t="shared" si="2"/>
        <v>349</v>
      </c>
      <c r="M50" s="23" t="str">
        <f>CONCATENATE(CI_TAILANDIA!$P$1,E50,", '",F50,"', '",G50,"' , ",H50," , '",I50,"' , ",J50,",",K50)</f>
        <v>EXECUTE [dbo].[PG_CI_STATE_GEO] 0, 10, 139, 159, 'Phuket', 'Phuket' , 1 , '#159 // Phuket' , 0,349</v>
      </c>
      <c r="N50" s="11"/>
    </row>
    <row r="51" spans="1:14" s="10" customFormat="1" x14ac:dyDescent="0.25">
      <c r="A51" s="19">
        <f t="shared" si="5"/>
        <v>49</v>
      </c>
      <c r="B51" s="20">
        <v>0</v>
      </c>
      <c r="C51" s="20">
        <v>10</v>
      </c>
      <c r="D51" s="20">
        <v>139</v>
      </c>
      <c r="E51" s="35">
        <f t="shared" si="6"/>
        <v>160</v>
      </c>
      <c r="F51" s="21" t="s">
        <v>275</v>
      </c>
      <c r="G51" s="22" t="s">
        <v>275</v>
      </c>
      <c r="H51" s="25">
        <v>1</v>
      </c>
      <c r="I51" s="33" t="str">
        <f>CONCATENATE("#",E51," // ",F51)</f>
        <v>#160 // Prachin Buri</v>
      </c>
      <c r="J51" s="25">
        <v>0</v>
      </c>
      <c r="K51" s="31">
        <f t="shared" si="2"/>
        <v>349</v>
      </c>
      <c r="M51" s="23" t="str">
        <f>CONCATENATE(CI_TAILANDIA!$P$1,E51,", '",F51,"', '",G51,"' , ",H51," , '",I51,"' , ",J51,",",K51)</f>
        <v>EXECUTE [dbo].[PG_CI_STATE_GEO] 0, 10, 139, 160, 'Prachin Buri', 'Prachin Buri' , 1 , '#160 // Prachin Buri' , 0,349</v>
      </c>
      <c r="N51" s="11"/>
    </row>
    <row r="52" spans="1:14" s="10" customFormat="1" x14ac:dyDescent="0.25">
      <c r="A52" s="19">
        <f t="shared" si="5"/>
        <v>50</v>
      </c>
      <c r="B52" s="20">
        <v>0</v>
      </c>
      <c r="C52" s="20">
        <v>10</v>
      </c>
      <c r="D52" s="20">
        <v>139</v>
      </c>
      <c r="E52" s="35">
        <f t="shared" si="6"/>
        <v>161</v>
      </c>
      <c r="F52" s="21" t="s">
        <v>264</v>
      </c>
      <c r="G52" s="22" t="s">
        <v>264</v>
      </c>
      <c r="H52" s="25">
        <v>1</v>
      </c>
      <c r="I52" s="33" t="str">
        <f>CONCATENATE("#",E52," // ",F52)</f>
        <v>#161 // Prachuap Khiri Khan</v>
      </c>
      <c r="J52" s="25">
        <v>0</v>
      </c>
      <c r="K52" s="31">
        <f t="shared" si="2"/>
        <v>349</v>
      </c>
      <c r="M52" s="23" t="str">
        <f>CONCATENATE(CI_TAILANDIA!$P$1,E52,", '",F52,"', '",G52,"' , ",H52," , '",I52,"' , ",J52,",",K52)</f>
        <v>EXECUTE [dbo].[PG_CI_STATE_GEO] 0, 10, 139, 161, 'Prachuap Khiri Khan', 'Prachuap Khiri Khan' , 1 , '#161 // Prachuap Khiri Khan' , 0,349</v>
      </c>
      <c r="N52" s="11"/>
    </row>
    <row r="53" spans="1:14" s="10" customFormat="1" x14ac:dyDescent="0.25">
      <c r="A53" s="19">
        <f t="shared" si="5"/>
        <v>51</v>
      </c>
      <c r="B53" s="20">
        <v>0</v>
      </c>
      <c r="C53" s="20">
        <v>10</v>
      </c>
      <c r="D53" s="20">
        <v>139</v>
      </c>
      <c r="E53" s="35">
        <f t="shared" si="6"/>
        <v>162</v>
      </c>
      <c r="F53" s="21" t="s">
        <v>287</v>
      </c>
      <c r="G53" s="22" t="s">
        <v>287</v>
      </c>
      <c r="H53" s="25">
        <v>1</v>
      </c>
      <c r="I53" s="33" t="str">
        <f>CONCATENATE("#",E53," // ",F53)</f>
        <v>#162 // Ranong</v>
      </c>
      <c r="J53" s="25">
        <v>0</v>
      </c>
      <c r="K53" s="31">
        <f t="shared" si="2"/>
        <v>349</v>
      </c>
      <c r="M53" s="23" t="str">
        <f>CONCATENATE(CI_TAILANDIA!$P$1,E53,", '",F53,"', '",G53,"' , ",H53," , '",I53,"' , ",J53,",",K53)</f>
        <v>EXECUTE [dbo].[PG_CI_STATE_GEO] 0, 10, 139, 162, 'Ranong', 'Ranong' , 1 , '#162 // Ranong' , 0,349</v>
      </c>
      <c r="N53" s="11"/>
    </row>
    <row r="54" spans="1:14" s="10" customFormat="1" x14ac:dyDescent="0.25">
      <c r="A54" s="19">
        <f t="shared" si="5"/>
        <v>52</v>
      </c>
      <c r="B54" s="20">
        <v>0</v>
      </c>
      <c r="C54" s="20">
        <v>10</v>
      </c>
      <c r="D54" s="20">
        <v>139</v>
      </c>
      <c r="E54" s="35">
        <f t="shared" si="6"/>
        <v>163</v>
      </c>
      <c r="F54" s="21" t="s">
        <v>265</v>
      </c>
      <c r="G54" s="22" t="s">
        <v>265</v>
      </c>
      <c r="H54" s="25">
        <v>1</v>
      </c>
      <c r="I54" s="33" t="str">
        <f>CONCATENATE("#",E54," // ",F54)</f>
        <v>#163 // Ratchaburi</v>
      </c>
      <c r="J54" s="25">
        <v>0</v>
      </c>
      <c r="K54" s="31">
        <f t="shared" si="2"/>
        <v>349</v>
      </c>
      <c r="M54" s="23" t="str">
        <f>CONCATENATE(CI_TAILANDIA!$P$1,E54,", '",F54,"', '",G54,"' , ",H54," , '",I54,"' , ",J54,",",K54)</f>
        <v>EXECUTE [dbo].[PG_CI_STATE_GEO] 0, 10, 139, 163, 'Ratchaburi', 'Ratchaburi' , 1 , '#163 // Ratchaburi' , 0,349</v>
      </c>
      <c r="N54" s="11"/>
    </row>
    <row r="55" spans="1:14" s="10" customFormat="1" x14ac:dyDescent="0.25">
      <c r="A55" s="19">
        <f t="shared" si="5"/>
        <v>53</v>
      </c>
      <c r="B55" s="20">
        <v>0</v>
      </c>
      <c r="C55" s="20">
        <v>10</v>
      </c>
      <c r="D55" s="20">
        <v>139</v>
      </c>
      <c r="E55" s="35">
        <f t="shared" si="6"/>
        <v>164</v>
      </c>
      <c r="F55" s="21" t="s">
        <v>276</v>
      </c>
      <c r="G55" s="22" t="s">
        <v>276</v>
      </c>
      <c r="H55" s="25">
        <v>1</v>
      </c>
      <c r="I55" s="33" t="str">
        <f>CONCATENATE("#",E55," // ",F55)</f>
        <v>#164 // Rayong</v>
      </c>
      <c r="J55" s="25">
        <v>0</v>
      </c>
      <c r="K55" s="31">
        <f t="shared" si="2"/>
        <v>349</v>
      </c>
      <c r="M55" s="23" t="str">
        <f>CONCATENATE(CI_TAILANDIA!$P$1,E55,", '",F55,"', '",G55,"' , ",H55," , '",I55,"' , ",J55,",",K55)</f>
        <v>EXECUTE [dbo].[PG_CI_STATE_GEO] 0, 10, 139, 164, 'Rayong', 'Rayong' , 1 , '#164 // Rayong' , 0,349</v>
      </c>
      <c r="N55" s="11"/>
    </row>
    <row r="56" spans="1:14" s="10" customFormat="1" x14ac:dyDescent="0.25">
      <c r="A56" s="19">
        <f t="shared" si="5"/>
        <v>54</v>
      </c>
      <c r="B56" s="20">
        <v>0</v>
      </c>
      <c r="C56" s="20">
        <v>10</v>
      </c>
      <c r="D56" s="20">
        <v>139</v>
      </c>
      <c r="E56" s="35">
        <f t="shared" si="6"/>
        <v>165</v>
      </c>
      <c r="F56" s="21" t="s">
        <v>245</v>
      </c>
      <c r="G56" s="22" t="s">
        <v>245</v>
      </c>
      <c r="H56" s="25">
        <v>1</v>
      </c>
      <c r="I56" s="33" t="str">
        <f>CONCATENATE("#",E56," // ",F56)</f>
        <v>#165 // Roi Et</v>
      </c>
      <c r="J56" s="25">
        <v>0</v>
      </c>
      <c r="K56" s="31">
        <f t="shared" si="2"/>
        <v>349</v>
      </c>
      <c r="M56" s="23" t="str">
        <f>CONCATENATE(CI_TAILANDIA!$P$1,E56,", '",F56,"', '",G56,"' , ",H56," , '",I56,"' , ",J56,",",K56)</f>
        <v>EXECUTE [dbo].[PG_CI_STATE_GEO] 0, 10, 139, 165, 'Roi Et', 'Roi Et' , 1 , '#165 // Roi Et' , 0,349</v>
      </c>
      <c r="N56" s="11"/>
    </row>
    <row r="57" spans="1:14" s="10" customFormat="1" x14ac:dyDescent="0.25">
      <c r="A57" s="19">
        <f>+A56+1</f>
        <v>55</v>
      </c>
      <c r="B57" s="20">
        <v>0</v>
      </c>
      <c r="C57" s="20">
        <v>10</v>
      </c>
      <c r="D57" s="20">
        <v>139</v>
      </c>
      <c r="E57" s="35">
        <f>+E56+1</f>
        <v>166</v>
      </c>
      <c r="F57" s="21" t="s">
        <v>277</v>
      </c>
      <c r="G57" s="22" t="s">
        <v>277</v>
      </c>
      <c r="H57" s="25">
        <v>1</v>
      </c>
      <c r="I57" s="33" t="str">
        <f>CONCATENATE("#",E57," // ",F57)</f>
        <v>#166 // Sa Kaeo</v>
      </c>
      <c r="J57" s="25">
        <v>0</v>
      </c>
      <c r="K57" s="31">
        <f t="shared" si="2"/>
        <v>349</v>
      </c>
      <c r="M57" s="23" t="str">
        <f>CONCATENATE(CI_TAILANDIA!$P$1,E57,", '",F57,"', '",G57,"' , ",H57," , '",I57,"' , ",J57,",",K57)</f>
        <v>EXECUTE [dbo].[PG_CI_STATE_GEO] 0, 10, 139, 166, 'Sa Kaeo', 'Sa Kaeo' , 1 , '#166 // Sa Kaeo' , 0,349</v>
      </c>
      <c r="N57" s="11"/>
    </row>
    <row r="58" spans="1:14" s="10" customFormat="1" x14ac:dyDescent="0.25">
      <c r="A58" s="19">
        <f t="shared" ref="A58:A69" si="7">+A57+1</f>
        <v>56</v>
      </c>
      <c r="B58" s="20">
        <v>0</v>
      </c>
      <c r="C58" s="20">
        <v>10</v>
      </c>
      <c r="D58" s="20">
        <v>139</v>
      </c>
      <c r="E58" s="35">
        <f t="shared" ref="E58:E69" si="8">+E57+1</f>
        <v>167</v>
      </c>
      <c r="F58" s="21" t="s">
        <v>246</v>
      </c>
      <c r="G58" s="22" t="s">
        <v>246</v>
      </c>
      <c r="H58" s="25">
        <v>1</v>
      </c>
      <c r="I58" s="33" t="str">
        <f>CONCATENATE("#",E58," // ",F58)</f>
        <v>#167 // Sakon Nakhon</v>
      </c>
      <c r="J58" s="25">
        <v>0</v>
      </c>
      <c r="K58" s="31">
        <f t="shared" si="2"/>
        <v>349</v>
      </c>
      <c r="M58" s="23" t="str">
        <f>CONCATENATE(CI_TAILANDIA!$P$1,E58,", '",F58,"', '",G58,"' , ",H58," , '",I58,"' , ",J58,",",K58)</f>
        <v>EXECUTE [dbo].[PG_CI_STATE_GEO] 0, 10, 139, 167, 'Sakon Nakhon', 'Sakon Nakhon' , 1 , '#167 // Sakon Nakhon' , 0,349</v>
      </c>
      <c r="N58" s="11"/>
    </row>
    <row r="59" spans="1:14" s="10" customFormat="1" x14ac:dyDescent="0.25">
      <c r="A59" s="19">
        <f t="shared" si="7"/>
        <v>57</v>
      </c>
      <c r="B59" s="20">
        <v>0</v>
      </c>
      <c r="C59" s="20">
        <v>10</v>
      </c>
      <c r="D59" s="20">
        <v>139</v>
      </c>
      <c r="E59" s="35">
        <f t="shared" si="8"/>
        <v>168</v>
      </c>
      <c r="F59" s="21" t="s">
        <v>266</v>
      </c>
      <c r="G59" s="22" t="s">
        <v>266</v>
      </c>
      <c r="H59" s="25">
        <v>1</v>
      </c>
      <c r="I59" s="33" t="str">
        <f>CONCATENATE("#",E59," // ",F59)</f>
        <v>#168 // Samut Prakan</v>
      </c>
      <c r="J59" s="25">
        <v>0</v>
      </c>
      <c r="K59" s="31">
        <f t="shared" si="2"/>
        <v>349</v>
      </c>
      <c r="M59" s="23" t="str">
        <f>CONCATENATE(CI_TAILANDIA!$P$1,E59,", '",F59,"', '",G59,"' , ",H59," , '",I59,"' , ",J59,",",K59)</f>
        <v>EXECUTE [dbo].[PG_CI_STATE_GEO] 0, 10, 139, 168, 'Samut Prakan', 'Samut Prakan' , 1 , '#168 // Samut Prakan' , 0,349</v>
      </c>
      <c r="N59" s="11"/>
    </row>
    <row r="60" spans="1:14" s="10" customFormat="1" x14ac:dyDescent="0.25">
      <c r="A60" s="19">
        <f t="shared" si="7"/>
        <v>58</v>
      </c>
      <c r="B60" s="20">
        <v>0</v>
      </c>
      <c r="C60" s="20">
        <v>10</v>
      </c>
      <c r="D60" s="20">
        <v>139</v>
      </c>
      <c r="E60" s="35">
        <f t="shared" si="8"/>
        <v>169</v>
      </c>
      <c r="F60" s="21" t="s">
        <v>267</v>
      </c>
      <c r="G60" s="22" t="s">
        <v>267</v>
      </c>
      <c r="H60" s="25">
        <v>1</v>
      </c>
      <c r="I60" s="33" t="str">
        <f>CONCATENATE("#",E60," // ",F60)</f>
        <v>#169 // Samut Sakhon</v>
      </c>
      <c r="J60" s="25">
        <v>0</v>
      </c>
      <c r="K60" s="31">
        <f t="shared" si="2"/>
        <v>349</v>
      </c>
      <c r="M60" s="23" t="str">
        <f>CONCATENATE(CI_TAILANDIA!$P$1,E60,", '",F60,"', '",G60,"' , ",H60," , '",I60,"' , ",J60,",",K60)</f>
        <v>EXECUTE [dbo].[PG_CI_STATE_GEO] 0, 10, 139, 169, 'Samut Sakhon', 'Samut Sakhon' , 1 , '#169 // Samut Sakhon' , 0,349</v>
      </c>
      <c r="N60" s="11"/>
    </row>
    <row r="61" spans="1:14" s="10" customFormat="1" x14ac:dyDescent="0.25">
      <c r="A61" s="19">
        <f t="shared" si="7"/>
        <v>59</v>
      </c>
      <c r="B61" s="20">
        <v>0</v>
      </c>
      <c r="C61" s="20">
        <v>10</v>
      </c>
      <c r="D61" s="20">
        <v>139</v>
      </c>
      <c r="E61" s="35">
        <f t="shared" si="8"/>
        <v>170</v>
      </c>
      <c r="F61" s="21" t="s">
        <v>268</v>
      </c>
      <c r="G61" s="22" t="s">
        <v>268</v>
      </c>
      <c r="H61" s="25">
        <v>1</v>
      </c>
      <c r="I61" s="33" t="str">
        <f>CONCATENATE("#",E61," // ",F61)</f>
        <v>#170 // Samut Songkhram</v>
      </c>
      <c r="J61" s="25">
        <v>0</v>
      </c>
      <c r="K61" s="31">
        <f t="shared" si="2"/>
        <v>349</v>
      </c>
      <c r="M61" s="23" t="str">
        <f>CONCATENATE(CI_TAILANDIA!$P$1,E61,", '",F61,"', '",G61,"' , ",H61," , '",I61,"' , ",J61,",",K61)</f>
        <v>EXECUTE [dbo].[PG_CI_STATE_GEO] 0, 10, 139, 170, 'Samut Songkhram', 'Samut Songkhram' , 1 , '#170 // Samut Songkhram' , 0,349</v>
      </c>
      <c r="N61" s="11"/>
    </row>
    <row r="62" spans="1:14" s="10" customFormat="1" x14ac:dyDescent="0.25">
      <c r="A62" s="19">
        <f t="shared" si="7"/>
        <v>60</v>
      </c>
      <c r="B62" s="20">
        <v>0</v>
      </c>
      <c r="C62" s="20">
        <v>10</v>
      </c>
      <c r="D62" s="20">
        <v>139</v>
      </c>
      <c r="E62" s="35">
        <f t="shared" si="8"/>
        <v>171</v>
      </c>
      <c r="F62" s="21" t="s">
        <v>269</v>
      </c>
      <c r="G62" s="22" t="s">
        <v>269</v>
      </c>
      <c r="H62" s="25">
        <v>1</v>
      </c>
      <c r="I62" s="33" t="str">
        <f>CONCATENATE("#",E62," // ",F62)</f>
        <v>#171 // Saraburi</v>
      </c>
      <c r="J62" s="25">
        <v>0</v>
      </c>
      <c r="K62" s="31">
        <f t="shared" si="2"/>
        <v>349</v>
      </c>
      <c r="M62" s="23" t="str">
        <f>CONCATENATE(CI_TAILANDIA!$P$1,E62,", '",F62,"', '",G62,"' , ",H62," , '",I62,"' , ",J62,",",K62)</f>
        <v>EXECUTE [dbo].[PG_CI_STATE_GEO] 0, 10, 139, 171, 'Saraburi', 'Saraburi' , 1 , '#171 // Saraburi' , 0,349</v>
      </c>
      <c r="N62" s="11"/>
    </row>
    <row r="63" spans="1:14" s="10" customFormat="1" x14ac:dyDescent="0.25">
      <c r="A63" s="19">
        <f t="shared" si="7"/>
        <v>61</v>
      </c>
      <c r="B63" s="20">
        <v>0</v>
      </c>
      <c r="C63" s="20">
        <v>10</v>
      </c>
      <c r="D63" s="20">
        <v>139</v>
      </c>
      <c r="E63" s="35">
        <f t="shared" si="8"/>
        <v>172</v>
      </c>
      <c r="F63" s="21" t="s">
        <v>288</v>
      </c>
      <c r="G63" s="22" t="s">
        <v>288</v>
      </c>
      <c r="H63" s="25">
        <v>1</v>
      </c>
      <c r="I63" s="33" t="str">
        <f>CONCATENATE("#",E63," // ",F63)</f>
        <v>#172 // Satun</v>
      </c>
      <c r="J63" s="25">
        <v>0</v>
      </c>
      <c r="K63" s="31">
        <f t="shared" si="2"/>
        <v>349</v>
      </c>
      <c r="M63" s="23" t="str">
        <f>CONCATENATE(CI_TAILANDIA!$P$1,E63,", '",F63,"', '",G63,"' , ",H63," , '",I63,"' , ",J63,",",K63)</f>
        <v>EXECUTE [dbo].[PG_CI_STATE_GEO] 0, 10, 139, 172, 'Satun', 'Satun' , 1 , '#172 // Satun' , 0,349</v>
      </c>
      <c r="N63" s="11"/>
    </row>
    <row r="64" spans="1:14" s="10" customFormat="1" x14ac:dyDescent="0.25">
      <c r="A64" s="19">
        <f t="shared" si="7"/>
        <v>62</v>
      </c>
      <c r="B64" s="20">
        <v>0</v>
      </c>
      <c r="C64" s="20">
        <v>10</v>
      </c>
      <c r="D64" s="20">
        <v>139</v>
      </c>
      <c r="E64" s="35">
        <f t="shared" si="8"/>
        <v>173</v>
      </c>
      <c r="F64" s="21" t="s">
        <v>247</v>
      </c>
      <c r="G64" s="22" t="s">
        <v>247</v>
      </c>
      <c r="H64" s="25">
        <v>1</v>
      </c>
      <c r="I64" s="33" t="str">
        <f>CONCATENATE("#",E64," // ",F64)</f>
        <v>#173 // Si Sa Ket</v>
      </c>
      <c r="J64" s="25">
        <v>0</v>
      </c>
      <c r="K64" s="31">
        <f t="shared" si="2"/>
        <v>349</v>
      </c>
      <c r="M64" s="23" t="str">
        <f>CONCATENATE(CI_TAILANDIA!$P$1,E64,", '",F64,"', '",G64,"' , ",H64," , '",I64,"' , ",J64,",",K64)</f>
        <v>EXECUTE [dbo].[PG_CI_STATE_GEO] 0, 10, 139, 173, 'Si Sa Ket', 'Si Sa Ket' , 1 , '#173 // Si Sa Ket' , 0,349</v>
      </c>
      <c r="N64" s="11"/>
    </row>
    <row r="65" spans="1:14" s="10" customFormat="1" x14ac:dyDescent="0.25">
      <c r="A65" s="19">
        <f t="shared" si="7"/>
        <v>63</v>
      </c>
      <c r="B65" s="20">
        <v>0</v>
      </c>
      <c r="C65" s="20">
        <v>10</v>
      </c>
      <c r="D65" s="20">
        <v>139</v>
      </c>
      <c r="E65" s="35">
        <f t="shared" si="8"/>
        <v>174</v>
      </c>
      <c r="F65" s="21" t="s">
        <v>270</v>
      </c>
      <c r="G65" s="22" t="s">
        <v>270</v>
      </c>
      <c r="H65" s="25">
        <v>1</v>
      </c>
      <c r="I65" s="33" t="str">
        <f>CONCATENATE("#",E65," // ",F65)</f>
        <v>#174 // Sing Buri</v>
      </c>
      <c r="J65" s="25">
        <v>0</v>
      </c>
      <c r="K65" s="31">
        <f t="shared" si="2"/>
        <v>349</v>
      </c>
      <c r="M65" s="23" t="str">
        <f>CONCATENATE(CI_TAILANDIA!$P$1,E65,", '",F65,"', '",G65,"' , ",H65," , '",I65,"' , ",J65,",",K65)</f>
        <v>EXECUTE [dbo].[PG_CI_STATE_GEO] 0, 10, 139, 174, 'Sing Buri', 'Sing Buri' , 1 , '#174 // Sing Buri' , 0,349</v>
      </c>
      <c r="N65" s="11"/>
    </row>
    <row r="66" spans="1:14" s="10" customFormat="1" x14ac:dyDescent="0.25">
      <c r="A66" s="19">
        <f t="shared" si="7"/>
        <v>64</v>
      </c>
      <c r="B66" s="20">
        <v>0</v>
      </c>
      <c r="C66" s="20">
        <v>10</v>
      </c>
      <c r="D66" s="20">
        <v>139</v>
      </c>
      <c r="E66" s="35">
        <f t="shared" si="8"/>
        <v>175</v>
      </c>
      <c r="F66" s="21" t="s">
        <v>289</v>
      </c>
      <c r="G66" s="22" t="s">
        <v>289</v>
      </c>
      <c r="H66" s="25">
        <v>1</v>
      </c>
      <c r="I66" s="33" t="str">
        <f>CONCATENATE("#",E66," // ",F66)</f>
        <v>#175 // Songkhla</v>
      </c>
      <c r="J66" s="25">
        <v>0</v>
      </c>
      <c r="K66" s="31">
        <f t="shared" si="2"/>
        <v>349</v>
      </c>
      <c r="M66" s="23" t="str">
        <f>CONCATENATE(CI_TAILANDIA!$P$1,E66,", '",F66,"', '",G66,"' , ",H66," , '",I66,"' , ",J66,",",K66)</f>
        <v>EXECUTE [dbo].[PG_CI_STATE_GEO] 0, 10, 139, 175, 'Songkhla', 'Songkhla' , 1 , '#175 // Songkhla' , 0,349</v>
      </c>
      <c r="N66" s="11"/>
    </row>
    <row r="67" spans="1:14" s="10" customFormat="1" x14ac:dyDescent="0.25">
      <c r="A67" s="19">
        <f t="shared" si="7"/>
        <v>65</v>
      </c>
      <c r="B67" s="20">
        <v>0</v>
      </c>
      <c r="C67" s="20">
        <v>10</v>
      </c>
      <c r="D67" s="20">
        <v>139</v>
      </c>
      <c r="E67" s="35">
        <f t="shared" si="8"/>
        <v>176</v>
      </c>
      <c r="F67" s="21" t="s">
        <v>229</v>
      </c>
      <c r="G67" s="22" t="s">
        <v>229</v>
      </c>
      <c r="H67" s="25">
        <v>1</v>
      </c>
      <c r="I67" s="33" t="str">
        <f>CONCATENATE("#",E67," // ",F67)</f>
        <v>#176 // Sukhothai</v>
      </c>
      <c r="J67" s="25">
        <v>0</v>
      </c>
      <c r="K67" s="31">
        <f t="shared" si="2"/>
        <v>349</v>
      </c>
      <c r="M67" s="23" t="str">
        <f>CONCATENATE(CI_TAILANDIA!$P$1,E67,", '",F67,"', '",G67,"' , ",H67," , '",I67,"' , ",J67,",",K67)</f>
        <v>EXECUTE [dbo].[PG_CI_STATE_GEO] 0, 10, 139, 176, 'Sukhothai', 'Sukhothai' , 1 , '#176 // Sukhothai' , 0,349</v>
      </c>
      <c r="N67" s="11"/>
    </row>
    <row r="68" spans="1:14" s="10" customFormat="1" x14ac:dyDescent="0.25">
      <c r="A68" s="19">
        <f t="shared" si="7"/>
        <v>66</v>
      </c>
      <c r="B68" s="20">
        <v>0</v>
      </c>
      <c r="C68" s="20">
        <v>10</v>
      </c>
      <c r="D68" s="20">
        <v>139</v>
      </c>
      <c r="E68" s="35">
        <f t="shared" si="8"/>
        <v>177</v>
      </c>
      <c r="F68" s="21" t="s">
        <v>271</v>
      </c>
      <c r="G68" s="22" t="s">
        <v>271</v>
      </c>
      <c r="H68" s="25">
        <v>1</v>
      </c>
      <c r="I68" s="33" t="str">
        <f>CONCATENATE("#",E68," // ",F68)</f>
        <v>#177 // Suphan Buri</v>
      </c>
      <c r="J68" s="25">
        <v>0</v>
      </c>
      <c r="K68" s="31">
        <f t="shared" si="2"/>
        <v>349</v>
      </c>
      <c r="M68" s="23" t="str">
        <f>CONCATENATE(CI_TAILANDIA!$P$1,E68,", '",F68,"', '",G68,"' , ",H68," , '",I68,"' , ",J68,",",K68)</f>
        <v>EXECUTE [dbo].[PG_CI_STATE_GEO] 0, 10, 139, 177, 'Suphan Buri', 'Suphan Buri' , 1 , '#177 // Suphan Buri' , 0,349</v>
      </c>
      <c r="N68" s="11"/>
    </row>
    <row r="69" spans="1:14" s="10" customFormat="1" x14ac:dyDescent="0.25">
      <c r="A69" s="19">
        <f t="shared" si="7"/>
        <v>67</v>
      </c>
      <c r="B69" s="20">
        <v>0</v>
      </c>
      <c r="C69" s="20">
        <v>10</v>
      </c>
      <c r="D69" s="20">
        <v>139</v>
      </c>
      <c r="E69" s="35">
        <f t="shared" si="8"/>
        <v>178</v>
      </c>
      <c r="F69" s="21" t="s">
        <v>290</v>
      </c>
      <c r="G69" s="22" t="s">
        <v>290</v>
      </c>
      <c r="H69" s="25">
        <v>1</v>
      </c>
      <c r="I69" s="33" t="str">
        <f>CONCATENATE("#",E69," // ",F69)</f>
        <v>#178 // Surat Thani</v>
      </c>
      <c r="J69" s="25">
        <v>0</v>
      </c>
      <c r="K69" s="31">
        <f t="shared" ref="K69" si="9">K68</f>
        <v>349</v>
      </c>
      <c r="M69" s="23" t="str">
        <f>CONCATENATE(CI_TAILANDIA!$P$1,E69,", '",F69,"', '",G69,"' , ",H69," , '",I69,"' , ",J69,",",K69)</f>
        <v>EXECUTE [dbo].[PG_CI_STATE_GEO] 0, 10, 139, 178, 'Surat Thani', 'Surat Thani' , 1 , '#178 // Surat Thani' , 0,349</v>
      </c>
      <c r="N69" s="11"/>
    </row>
    <row r="70" spans="1:14" s="10" customFormat="1" x14ac:dyDescent="0.25">
      <c r="A70" s="19">
        <f t="shared" ref="A70:A79" si="10">+A69+1</f>
        <v>68</v>
      </c>
      <c r="B70" s="20">
        <v>0</v>
      </c>
      <c r="C70" s="20">
        <v>10</v>
      </c>
      <c r="D70" s="20">
        <v>139</v>
      </c>
      <c r="E70" s="35">
        <f t="shared" ref="E70:E79" si="11">+E69+1</f>
        <v>179</v>
      </c>
      <c r="F70" s="21" t="s">
        <v>248</v>
      </c>
      <c r="G70" s="22" t="s">
        <v>248</v>
      </c>
      <c r="H70" s="25">
        <v>1</v>
      </c>
      <c r="I70" s="33" t="str">
        <f>CONCATENATE("#",E70," // ",F70)</f>
        <v>#179 // Surin</v>
      </c>
      <c r="J70" s="25">
        <v>0</v>
      </c>
      <c r="K70" s="31">
        <f t="shared" ref="K70:K79" si="12">K69</f>
        <v>349</v>
      </c>
      <c r="M70" s="23" t="str">
        <f>CONCATENATE(CI_TAILANDIA!$P$1,E70,", '",F70,"', '",G70,"' , ",H70," , '",I70,"' , ",J70,",",K70)</f>
        <v>EXECUTE [dbo].[PG_CI_STATE_GEO] 0, 10, 139, 179, 'Surin', 'Surin' , 1 , '#179 // Surin' , 0,349</v>
      </c>
      <c r="N70" s="11"/>
    </row>
    <row r="71" spans="1:14" s="10" customFormat="1" x14ac:dyDescent="0.25">
      <c r="A71" s="19">
        <f t="shared" si="10"/>
        <v>69</v>
      </c>
      <c r="B71" s="20">
        <v>0</v>
      </c>
      <c r="C71" s="20">
        <v>10</v>
      </c>
      <c r="D71" s="20">
        <v>139</v>
      </c>
      <c r="E71" s="35">
        <f t="shared" si="11"/>
        <v>180</v>
      </c>
      <c r="F71" s="21" t="s">
        <v>230</v>
      </c>
      <c r="G71" s="22" t="s">
        <v>230</v>
      </c>
      <c r="H71" s="25">
        <v>1</v>
      </c>
      <c r="I71" s="33" t="str">
        <f>CONCATENATE("#",E71," // ",F71)</f>
        <v>#180 // Tak</v>
      </c>
      <c r="J71" s="25">
        <v>0</v>
      </c>
      <c r="K71" s="31">
        <f t="shared" si="12"/>
        <v>349</v>
      </c>
      <c r="M71" s="23" t="str">
        <f>CONCATENATE(CI_TAILANDIA!$P$1,E71,", '",F71,"', '",G71,"' , ",H71," , '",I71,"' , ",J71,",",K71)</f>
        <v>EXECUTE [dbo].[PG_CI_STATE_GEO] 0, 10, 139, 180, 'Tak', 'Tak' , 1 , '#180 // Tak' , 0,349</v>
      </c>
      <c r="N71" s="11"/>
    </row>
    <row r="72" spans="1:14" s="10" customFormat="1" x14ac:dyDescent="0.25">
      <c r="A72" s="19">
        <f t="shared" si="10"/>
        <v>70</v>
      </c>
      <c r="B72" s="20">
        <v>0</v>
      </c>
      <c r="C72" s="20">
        <v>10</v>
      </c>
      <c r="D72" s="20">
        <v>139</v>
      </c>
      <c r="E72" s="35">
        <f t="shared" si="11"/>
        <v>181</v>
      </c>
      <c r="F72" s="21" t="s">
        <v>291</v>
      </c>
      <c r="G72" s="22" t="s">
        <v>291</v>
      </c>
      <c r="H72" s="25">
        <v>1</v>
      </c>
      <c r="I72" s="33" t="str">
        <f>CONCATENATE("#",E72," // ",F72)</f>
        <v>#181 // Trang</v>
      </c>
      <c r="J72" s="25">
        <v>0</v>
      </c>
      <c r="K72" s="31">
        <f t="shared" si="12"/>
        <v>349</v>
      </c>
      <c r="M72" s="23" t="str">
        <f>CONCATENATE(CI_TAILANDIA!$P$1,E72,", '",F72,"', '",G72,"' , ",H72," , '",I72,"' , ",J72,",",K72)</f>
        <v>EXECUTE [dbo].[PG_CI_STATE_GEO] 0, 10, 139, 181, 'Trang', 'Trang' , 1 , '#181 // Trang' , 0,349</v>
      </c>
      <c r="N72" s="11"/>
    </row>
    <row r="73" spans="1:14" s="10" customFormat="1" x14ac:dyDescent="0.25">
      <c r="A73" s="19">
        <f t="shared" si="10"/>
        <v>71</v>
      </c>
      <c r="B73" s="20">
        <v>0</v>
      </c>
      <c r="C73" s="20">
        <v>10</v>
      </c>
      <c r="D73" s="20">
        <v>139</v>
      </c>
      <c r="E73" s="35">
        <f t="shared" si="11"/>
        <v>182</v>
      </c>
      <c r="F73" s="21" t="s">
        <v>278</v>
      </c>
      <c r="G73" s="22" t="s">
        <v>278</v>
      </c>
      <c r="H73" s="25">
        <v>1</v>
      </c>
      <c r="I73" s="33" t="str">
        <f>CONCATENATE("#",E73," // ",F73)</f>
        <v>#182 // Trat</v>
      </c>
      <c r="J73" s="25">
        <v>0</v>
      </c>
      <c r="K73" s="31">
        <f t="shared" si="12"/>
        <v>349</v>
      </c>
      <c r="M73" s="23" t="str">
        <f>CONCATENATE(CI_TAILANDIA!$P$1,E73,", '",F73,"', '",G73,"' , ",H73," , '",I73,"' , ",J73,",",K73)</f>
        <v>EXECUTE [dbo].[PG_CI_STATE_GEO] 0, 10, 139, 182, 'Trat', 'Trat' , 1 , '#182 // Trat' , 0,349</v>
      </c>
      <c r="N73" s="11"/>
    </row>
    <row r="74" spans="1:14" s="10" customFormat="1" x14ac:dyDescent="0.25">
      <c r="A74" s="19">
        <f t="shared" si="10"/>
        <v>72</v>
      </c>
      <c r="B74" s="20">
        <v>0</v>
      </c>
      <c r="C74" s="20">
        <v>10</v>
      </c>
      <c r="D74" s="20">
        <v>139</v>
      </c>
      <c r="E74" s="35">
        <f t="shared" si="11"/>
        <v>183</v>
      </c>
      <c r="F74" s="21" t="s">
        <v>249</v>
      </c>
      <c r="G74" s="22" t="s">
        <v>249</v>
      </c>
      <c r="H74" s="25">
        <v>1</v>
      </c>
      <c r="I74" s="33" t="str">
        <f>CONCATENATE("#",E74," // ",F74)</f>
        <v>#183 // Ubon Ratchathani</v>
      </c>
      <c r="J74" s="25">
        <v>0</v>
      </c>
      <c r="K74" s="31">
        <f t="shared" si="12"/>
        <v>349</v>
      </c>
      <c r="M74" s="23" t="str">
        <f>CONCATENATE(CI_TAILANDIA!$P$1,E74,", '",F74,"', '",G74,"' , ",H74," , '",I74,"' , ",J74,",",K74)</f>
        <v>EXECUTE [dbo].[PG_CI_STATE_GEO] 0, 10, 139, 183, 'Ubon Ratchathani', 'Ubon Ratchathani' , 1 , '#183 // Ubon Ratchathani' , 0,349</v>
      </c>
      <c r="N74" s="11"/>
    </row>
    <row r="75" spans="1:14" s="10" customFormat="1" x14ac:dyDescent="0.25">
      <c r="A75" s="19">
        <f t="shared" si="10"/>
        <v>73</v>
      </c>
      <c r="B75" s="20">
        <v>0</v>
      </c>
      <c r="C75" s="20">
        <v>10</v>
      </c>
      <c r="D75" s="20">
        <v>139</v>
      </c>
      <c r="E75" s="35">
        <f t="shared" si="11"/>
        <v>184</v>
      </c>
      <c r="F75" s="21" t="s">
        <v>250</v>
      </c>
      <c r="G75" s="22" t="s">
        <v>250</v>
      </c>
      <c r="H75" s="25">
        <v>1</v>
      </c>
      <c r="I75" s="33" t="str">
        <f>CONCATENATE("#",E75," // ",F75)</f>
        <v>#184 // Udon Thani</v>
      </c>
      <c r="J75" s="25">
        <v>0</v>
      </c>
      <c r="K75" s="31">
        <f t="shared" si="12"/>
        <v>349</v>
      </c>
      <c r="M75" s="23" t="str">
        <f>CONCATENATE(CI_TAILANDIA!$P$1,E75,", '",F75,"', '",G75,"' , ",H75," , '",I75,"' , ",J75,",",K75)</f>
        <v>EXECUTE [dbo].[PG_CI_STATE_GEO] 0, 10, 139, 184, 'Udon Thani', 'Udon Thani' , 1 , '#184 // Udon Thani' , 0,349</v>
      </c>
      <c r="N75" s="11"/>
    </row>
    <row r="76" spans="1:14" s="10" customFormat="1" x14ac:dyDescent="0.25">
      <c r="A76" s="19">
        <f t="shared" si="10"/>
        <v>74</v>
      </c>
      <c r="B76" s="20">
        <v>0</v>
      </c>
      <c r="C76" s="20">
        <v>10</v>
      </c>
      <c r="D76" s="20">
        <v>139</v>
      </c>
      <c r="E76" s="35">
        <f t="shared" si="11"/>
        <v>185</v>
      </c>
      <c r="F76" s="21" t="s">
        <v>231</v>
      </c>
      <c r="G76" s="22" t="s">
        <v>231</v>
      </c>
      <c r="H76" s="25">
        <v>1</v>
      </c>
      <c r="I76" s="33" t="str">
        <f>CONCATENATE("#",E76," // ",F76)</f>
        <v>#185 // Uthai Thani</v>
      </c>
      <c r="J76" s="25">
        <v>0</v>
      </c>
      <c r="K76" s="31">
        <f t="shared" si="12"/>
        <v>349</v>
      </c>
      <c r="M76" s="23" t="str">
        <f>CONCATENATE(CI_TAILANDIA!$P$1,E76,", '",F76,"', '",G76,"' , ",H76," , '",I76,"' , ",J76,",",K76)</f>
        <v>EXECUTE [dbo].[PG_CI_STATE_GEO] 0, 10, 139, 185, 'Uthai Thani', 'Uthai Thani' , 1 , '#185 // Uthai Thani' , 0,349</v>
      </c>
      <c r="N76" s="11"/>
    </row>
    <row r="77" spans="1:14" s="10" customFormat="1" x14ac:dyDescent="0.25">
      <c r="A77" s="19">
        <f t="shared" si="10"/>
        <v>75</v>
      </c>
      <c r="B77" s="20">
        <v>0</v>
      </c>
      <c r="C77" s="20">
        <v>10</v>
      </c>
      <c r="D77" s="20">
        <v>139</v>
      </c>
      <c r="E77" s="35">
        <f t="shared" si="11"/>
        <v>186</v>
      </c>
      <c r="F77" s="21" t="s">
        <v>232</v>
      </c>
      <c r="G77" s="22" t="s">
        <v>232</v>
      </c>
      <c r="H77" s="25">
        <v>1</v>
      </c>
      <c r="I77" s="33" t="str">
        <f>CONCATENATE("#",E77," // ",F77)</f>
        <v>#186 // Uttaradit</v>
      </c>
      <c r="J77" s="25">
        <v>0</v>
      </c>
      <c r="K77" s="31">
        <f t="shared" si="12"/>
        <v>349</v>
      </c>
      <c r="M77" s="23" t="str">
        <f>CONCATENATE(CI_TAILANDIA!$P$1,E77,", '",F77,"', '",G77,"' , ",H77," , '",I77,"' , ",J77,",",K77)</f>
        <v>EXECUTE [dbo].[PG_CI_STATE_GEO] 0, 10, 139, 186, 'Uttaradit', 'Uttaradit' , 1 , '#186 // Uttaradit' , 0,349</v>
      </c>
      <c r="N77" s="11"/>
    </row>
    <row r="78" spans="1:14" s="10" customFormat="1" x14ac:dyDescent="0.25">
      <c r="A78" s="19">
        <f t="shared" si="10"/>
        <v>76</v>
      </c>
      <c r="B78" s="20">
        <v>0</v>
      </c>
      <c r="C78" s="20">
        <v>10</v>
      </c>
      <c r="D78" s="20">
        <v>139</v>
      </c>
      <c r="E78" s="35">
        <f t="shared" si="11"/>
        <v>187</v>
      </c>
      <c r="F78" s="21" t="s">
        <v>292</v>
      </c>
      <c r="G78" s="22" t="s">
        <v>292</v>
      </c>
      <c r="H78" s="25">
        <v>1</v>
      </c>
      <c r="I78" s="33" t="str">
        <f>CONCATENATE("#",E78," // ",F78)</f>
        <v>#187 // Yala</v>
      </c>
      <c r="J78" s="25">
        <v>0</v>
      </c>
      <c r="K78" s="31">
        <f t="shared" si="12"/>
        <v>349</v>
      </c>
      <c r="M78" s="23" t="str">
        <f>CONCATENATE(CI_TAILANDIA!$P$1,E78,", '",F78,"', '",G78,"' , ",H78," , '",I78,"' , ",J78,",",K78)</f>
        <v>EXECUTE [dbo].[PG_CI_STATE_GEO] 0, 10, 139, 187, 'Yala', 'Yala' , 1 , '#187 // Yala' , 0,349</v>
      </c>
      <c r="N78" s="11"/>
    </row>
    <row r="79" spans="1:14" s="10" customFormat="1" x14ac:dyDescent="0.25">
      <c r="A79" s="19">
        <f t="shared" si="10"/>
        <v>77</v>
      </c>
      <c r="B79" s="20">
        <v>0</v>
      </c>
      <c r="C79" s="20">
        <v>10</v>
      </c>
      <c r="D79" s="20">
        <v>139</v>
      </c>
      <c r="E79" s="35">
        <f t="shared" si="11"/>
        <v>188</v>
      </c>
      <c r="F79" s="21" t="s">
        <v>251</v>
      </c>
      <c r="G79" s="22" t="s">
        <v>251</v>
      </c>
      <c r="H79" s="25">
        <v>1</v>
      </c>
      <c r="I79" s="33" t="str">
        <f>CONCATENATE("#",E79," // ",F79)</f>
        <v>#188 // Yasothon</v>
      </c>
      <c r="J79" s="25">
        <v>0</v>
      </c>
      <c r="K79" s="31">
        <f t="shared" si="12"/>
        <v>349</v>
      </c>
      <c r="M79" s="23" t="str">
        <f>CONCATENATE(CI_TAILANDIA!$P$1,E79,", '",F79,"', '",G79,"' , ",H79," , '",I79,"' , ",J79,",",K79)</f>
        <v>EXECUTE [dbo].[PG_CI_STATE_GEO] 0, 10, 139, 188, 'Yasothon', 'Yasothon' , 1 , '#188 // Yasothon' , 0,349</v>
      </c>
      <c r="N79" s="11"/>
    </row>
    <row r="80" spans="1:14" s="10" customFormat="1" x14ac:dyDescent="0.25">
      <c r="A80" s="19"/>
      <c r="B80" s="20"/>
      <c r="C80" s="20"/>
      <c r="D80" s="20"/>
      <c r="E80" s="27"/>
      <c r="F80" s="21"/>
      <c r="G80" s="22"/>
      <c r="H80" s="25"/>
      <c r="I80" s="33"/>
      <c r="J80" s="25"/>
      <c r="K80" s="31"/>
      <c r="M80" s="23"/>
      <c r="N80" s="11"/>
    </row>
    <row r="81" spans="1:14" s="10" customFormat="1" x14ac:dyDescent="0.25">
      <c r="A81" s="19"/>
      <c r="B81" s="20"/>
      <c r="C81" s="20"/>
      <c r="D81" s="20"/>
      <c r="E81" s="27"/>
      <c r="F81" s="21"/>
      <c r="G81" s="22"/>
      <c r="H81" s="25"/>
      <c r="I81" s="33"/>
      <c r="J81" s="25"/>
      <c r="K81" s="31"/>
      <c r="M81" s="23"/>
      <c r="N81" s="11"/>
    </row>
    <row r="82" spans="1:14" s="10" customFormat="1" x14ac:dyDescent="0.25">
      <c r="A82" s="19"/>
      <c r="B82" s="20"/>
      <c r="C82" s="20"/>
      <c r="D82" s="20"/>
      <c r="E82" s="27"/>
      <c r="F82" s="21"/>
      <c r="G82" s="22"/>
      <c r="H82" s="25"/>
      <c r="I82" s="33"/>
      <c r="J82" s="25"/>
      <c r="K82" s="31"/>
      <c r="M82" s="23"/>
      <c r="N82" s="11"/>
    </row>
    <row r="83" spans="1:14" s="10" customFormat="1" x14ac:dyDescent="0.25">
      <c r="A83" s="19"/>
      <c r="B83" s="20"/>
      <c r="C83" s="20"/>
      <c r="D83" s="20"/>
      <c r="E83" s="27"/>
      <c r="F83" s="21"/>
      <c r="G83" s="22"/>
      <c r="H83" s="25"/>
      <c r="I83" s="33"/>
      <c r="J83" s="25"/>
      <c r="K83" s="31"/>
      <c r="M83" s="23"/>
      <c r="N83" s="11"/>
    </row>
    <row r="84" spans="1:14" s="10" customFormat="1" x14ac:dyDescent="0.25">
      <c r="A84" s="19"/>
      <c r="B84" s="20"/>
      <c r="C84" s="20"/>
      <c r="D84" s="20"/>
      <c r="E84" s="27"/>
      <c r="F84" s="21"/>
      <c r="G84" s="22"/>
      <c r="H84" s="25"/>
      <c r="I84" s="33"/>
      <c r="J84" s="25"/>
      <c r="K84" s="31"/>
      <c r="M84" s="23"/>
      <c r="N84" s="11"/>
    </row>
    <row r="85" spans="1:14" s="10" customFormat="1" x14ac:dyDescent="0.25">
      <c r="A85" s="19"/>
      <c r="B85" s="20"/>
      <c r="C85" s="20"/>
      <c r="D85" s="20"/>
      <c r="E85" s="27"/>
      <c r="F85" s="21"/>
      <c r="G85" s="22"/>
      <c r="H85" s="25"/>
      <c r="I85" s="33"/>
      <c r="J85" s="25"/>
      <c r="K85" s="31"/>
      <c r="M85" s="23"/>
      <c r="N85" s="11"/>
    </row>
    <row r="86" spans="1:14" s="10" customFormat="1" x14ac:dyDescent="0.25">
      <c r="A86" s="19"/>
      <c r="B86" s="20"/>
      <c r="C86" s="20"/>
      <c r="D86" s="20"/>
      <c r="E86" s="27"/>
      <c r="F86" s="21"/>
      <c r="G86" s="22"/>
      <c r="H86" s="25"/>
      <c r="I86" s="33"/>
      <c r="J86" s="25"/>
      <c r="K86" s="31"/>
      <c r="M86" s="23"/>
      <c r="N86" s="11"/>
    </row>
    <row r="87" spans="1:14" s="10" customFormat="1" x14ac:dyDescent="0.25">
      <c r="A87" s="19"/>
      <c r="B87" s="20"/>
      <c r="C87" s="20"/>
      <c r="D87" s="20"/>
      <c r="E87" s="27"/>
      <c r="F87" s="21"/>
      <c r="G87" s="22"/>
      <c r="H87" s="25"/>
      <c r="I87" s="33"/>
      <c r="J87" s="25"/>
      <c r="K87" s="31"/>
      <c r="M87" s="23"/>
      <c r="N87" s="11"/>
    </row>
    <row r="88" spans="1:14" s="10" customFormat="1" x14ac:dyDescent="0.25">
      <c r="A88" s="19"/>
      <c r="B88" s="20"/>
      <c r="C88" s="20"/>
      <c r="D88" s="20"/>
      <c r="E88" s="27"/>
      <c r="F88" s="21"/>
      <c r="G88" s="22"/>
      <c r="H88" s="25"/>
      <c r="I88" s="33"/>
      <c r="J88" s="25"/>
      <c r="K88" s="31"/>
      <c r="M88" s="23"/>
      <c r="N88" s="11"/>
    </row>
    <row r="89" spans="1:14" s="10" customFormat="1" x14ac:dyDescent="0.25">
      <c r="A89" s="19"/>
      <c r="B89" s="20"/>
      <c r="C89" s="20"/>
      <c r="D89" s="20"/>
      <c r="E89" s="27"/>
      <c r="F89" s="21"/>
      <c r="G89" s="22"/>
      <c r="H89" s="25"/>
      <c r="I89" s="33"/>
      <c r="J89" s="25"/>
      <c r="K89" s="31"/>
      <c r="M89" s="23"/>
      <c r="N89" s="11"/>
    </row>
    <row r="90" spans="1:14" s="10" customFormat="1" x14ac:dyDescent="0.25">
      <c r="A90" s="19"/>
      <c r="B90" s="20"/>
      <c r="C90" s="20"/>
      <c r="D90" s="20"/>
      <c r="E90" s="27"/>
      <c r="F90" s="21"/>
      <c r="G90" s="22"/>
      <c r="H90" s="25"/>
      <c r="I90" s="33"/>
      <c r="J90" s="25"/>
      <c r="K90" s="31"/>
      <c r="M90" s="23"/>
      <c r="N90" s="11"/>
    </row>
    <row r="91" spans="1:14" s="10" customFormat="1" x14ac:dyDescent="0.25">
      <c r="A91" s="19"/>
      <c r="B91" s="20"/>
      <c r="C91" s="20"/>
      <c r="D91" s="20"/>
      <c r="E91" s="27"/>
      <c r="F91" s="21"/>
      <c r="G91" s="22"/>
      <c r="H91" s="25"/>
      <c r="I91" s="33"/>
      <c r="J91" s="25"/>
      <c r="K91" s="31"/>
      <c r="M91" s="23"/>
      <c r="N91" s="11"/>
    </row>
    <row r="92" spans="1:14" s="10" customFormat="1" x14ac:dyDescent="0.25">
      <c r="A92" s="19"/>
      <c r="B92" s="20"/>
      <c r="C92" s="20"/>
      <c r="D92" s="20"/>
      <c r="E92" s="27"/>
      <c r="F92" s="21"/>
      <c r="G92" s="22"/>
      <c r="H92" s="25"/>
      <c r="I92" s="33"/>
      <c r="J92" s="25"/>
      <c r="K92" s="31"/>
      <c r="M92" s="23"/>
      <c r="N92" s="11"/>
    </row>
    <row r="93" spans="1:14" s="10" customFormat="1" x14ac:dyDescent="0.25">
      <c r="A93" s="19"/>
      <c r="B93" s="20"/>
      <c r="C93" s="20"/>
      <c r="D93" s="20"/>
      <c r="E93" s="27"/>
      <c r="F93" s="21"/>
      <c r="G93" s="22"/>
      <c r="H93" s="25"/>
      <c r="I93" s="33"/>
      <c r="J93" s="25"/>
      <c r="K93" s="31"/>
      <c r="M93" s="23"/>
      <c r="N93" s="11"/>
    </row>
    <row r="94" spans="1:14" s="10" customFormat="1" x14ac:dyDescent="0.25">
      <c r="A94" s="19"/>
      <c r="B94" s="20"/>
      <c r="C94" s="20"/>
      <c r="D94" s="20"/>
      <c r="E94" s="27"/>
      <c r="F94" s="21"/>
      <c r="G94" s="22"/>
      <c r="H94" s="25"/>
      <c r="I94" s="33"/>
      <c r="J94" s="25"/>
      <c r="K94" s="31"/>
      <c r="M94" s="23"/>
      <c r="N94" s="11"/>
    </row>
    <row r="95" spans="1:14" s="10" customFormat="1" x14ac:dyDescent="0.25">
      <c r="A95" s="19"/>
      <c r="B95" s="20"/>
      <c r="C95" s="20"/>
      <c r="D95" s="20"/>
      <c r="E95" s="27"/>
      <c r="F95" s="21"/>
      <c r="G95" s="22"/>
      <c r="H95" s="25"/>
      <c r="I95" s="33"/>
      <c r="J95" s="25"/>
      <c r="K95" s="31"/>
      <c r="M95" s="23"/>
      <c r="N95" s="11"/>
    </row>
    <row r="96" spans="1:14" s="10" customFormat="1" x14ac:dyDescent="0.25">
      <c r="A96" s="19"/>
      <c r="B96" s="20"/>
      <c r="C96" s="20"/>
      <c r="D96" s="20"/>
      <c r="E96" s="27"/>
      <c r="F96" s="21"/>
      <c r="G96" s="22"/>
      <c r="H96" s="25"/>
      <c r="I96" s="33"/>
      <c r="J96" s="25"/>
      <c r="K96" s="31"/>
      <c r="M96" s="23"/>
      <c r="N96" s="11"/>
    </row>
    <row r="97" spans="1:14" s="10" customFormat="1" x14ac:dyDescent="0.25">
      <c r="A97" s="19"/>
      <c r="B97" s="20"/>
      <c r="C97" s="20"/>
      <c r="D97" s="20"/>
      <c r="E97" s="27"/>
      <c r="F97" s="21"/>
      <c r="G97" s="22"/>
      <c r="H97" s="25"/>
      <c r="I97" s="33"/>
      <c r="J97" s="25"/>
      <c r="K97" s="31"/>
      <c r="M97" s="23"/>
      <c r="N97" s="11"/>
    </row>
    <row r="98" spans="1:14" s="10" customFormat="1" x14ac:dyDescent="0.25">
      <c r="A98" s="19"/>
      <c r="B98" s="20"/>
      <c r="C98" s="20"/>
      <c r="D98" s="20"/>
      <c r="E98" s="27"/>
      <c r="F98" s="21"/>
      <c r="G98" s="22"/>
      <c r="H98" s="25"/>
      <c r="I98" s="33"/>
      <c r="J98" s="25"/>
      <c r="K98" s="31"/>
      <c r="M98" s="23"/>
      <c r="N98" s="11"/>
    </row>
    <row r="99" spans="1:14" s="10" customFormat="1" x14ac:dyDescent="0.25">
      <c r="A99" s="19"/>
      <c r="B99" s="20"/>
      <c r="C99" s="20"/>
      <c r="D99" s="20"/>
      <c r="E99" s="27"/>
      <c r="F99" s="21"/>
      <c r="G99" s="22"/>
      <c r="H99" s="25"/>
      <c r="I99" s="33"/>
      <c r="J99" s="25"/>
      <c r="K99" s="31"/>
      <c r="M99" s="23"/>
      <c r="N99" s="11"/>
    </row>
    <row r="100" spans="1:14" s="10" customFormat="1" x14ac:dyDescent="0.25">
      <c r="A100" s="19"/>
      <c r="B100" s="20"/>
      <c r="C100" s="20"/>
      <c r="D100" s="20"/>
      <c r="E100" s="27"/>
      <c r="F100" s="21"/>
      <c r="G100" s="22"/>
      <c r="H100" s="25"/>
      <c r="I100" s="33"/>
      <c r="J100" s="25"/>
      <c r="K100" s="31"/>
      <c r="M100" s="23"/>
      <c r="N100" s="11"/>
    </row>
    <row r="101" spans="1:14" s="10" customFormat="1" x14ac:dyDescent="0.25">
      <c r="A101" s="19"/>
      <c r="B101" s="20"/>
      <c r="C101" s="20"/>
      <c r="D101" s="20"/>
      <c r="E101" s="27"/>
      <c r="F101" s="21"/>
      <c r="G101" s="22"/>
      <c r="H101" s="25"/>
      <c r="I101" s="33"/>
      <c r="J101" s="25"/>
      <c r="K101" s="31"/>
      <c r="M101" s="23"/>
      <c r="N101" s="11"/>
    </row>
    <row r="102" spans="1:14" s="10" customFormat="1" x14ac:dyDescent="0.25">
      <c r="A102" s="19"/>
      <c r="B102" s="20"/>
      <c r="C102" s="20"/>
      <c r="D102" s="20"/>
      <c r="E102" s="27"/>
      <c r="F102" s="21"/>
      <c r="G102" s="22"/>
      <c r="H102" s="25"/>
      <c r="I102" s="33"/>
      <c r="J102" s="25"/>
      <c r="K102" s="31"/>
      <c r="M102" s="23"/>
      <c r="N102" s="11"/>
    </row>
    <row r="103" spans="1:14" s="10" customFormat="1" x14ac:dyDescent="0.25">
      <c r="A103" s="19"/>
      <c r="B103" s="20"/>
      <c r="C103" s="20"/>
      <c r="D103" s="20"/>
      <c r="E103" s="27"/>
      <c r="F103" s="21"/>
      <c r="G103" s="22"/>
      <c r="H103" s="25"/>
      <c r="I103" s="33"/>
      <c r="J103" s="25"/>
      <c r="K103" s="31"/>
      <c r="M103" s="23"/>
      <c r="N103" s="11"/>
    </row>
    <row r="104" spans="1:14" s="10" customFormat="1" x14ac:dyDescent="0.25">
      <c r="A104" s="19"/>
      <c r="B104" s="20"/>
      <c r="C104" s="20"/>
      <c r="D104" s="20"/>
      <c r="E104" s="27"/>
      <c r="F104" s="21"/>
      <c r="G104" s="22"/>
      <c r="H104" s="25"/>
      <c r="I104" s="33"/>
      <c r="J104" s="25"/>
      <c r="K104" s="31"/>
      <c r="M104" s="23"/>
      <c r="N104" s="11"/>
    </row>
    <row r="105" spans="1:14" s="10" customFormat="1" x14ac:dyDescent="0.25">
      <c r="A105" s="19"/>
      <c r="B105" s="20"/>
      <c r="C105" s="20"/>
      <c r="D105" s="20"/>
      <c r="E105" s="27"/>
      <c r="F105" s="21"/>
      <c r="G105" s="22"/>
      <c r="H105" s="25"/>
      <c r="I105" s="33"/>
      <c r="J105" s="25"/>
      <c r="K105" s="31"/>
      <c r="M105" s="23"/>
      <c r="N105" s="11"/>
    </row>
    <row r="106" spans="1:14" s="10" customFormat="1" x14ac:dyDescent="0.25">
      <c r="A106" s="19"/>
      <c r="B106" s="20"/>
      <c r="C106" s="20"/>
      <c r="D106" s="20"/>
      <c r="E106" s="27"/>
      <c r="F106" s="21"/>
      <c r="G106" s="22"/>
      <c r="H106" s="25"/>
      <c r="I106" s="33"/>
      <c r="J106" s="25"/>
      <c r="K106" s="31"/>
      <c r="M106" s="23"/>
      <c r="N106" s="11"/>
    </row>
    <row r="107" spans="1:14" s="10" customFormat="1" x14ac:dyDescent="0.25">
      <c r="A107" s="19"/>
      <c r="B107" s="20"/>
      <c r="C107" s="20"/>
      <c r="D107" s="20"/>
      <c r="E107" s="27"/>
      <c r="F107" s="21"/>
      <c r="G107" s="22"/>
      <c r="H107" s="25"/>
      <c r="I107" s="33"/>
      <c r="J107" s="25"/>
      <c r="K107" s="31"/>
      <c r="M107" s="23"/>
      <c r="N107" s="11"/>
    </row>
    <row r="108" spans="1:14" s="10" customFormat="1" x14ac:dyDescent="0.25">
      <c r="A108" s="19"/>
      <c r="B108" s="20"/>
      <c r="C108" s="20"/>
      <c r="D108" s="20"/>
      <c r="E108" s="27"/>
      <c r="F108" s="21"/>
      <c r="G108" s="22"/>
      <c r="H108" s="25"/>
      <c r="I108" s="33"/>
      <c r="J108" s="25"/>
      <c r="K108" s="31"/>
      <c r="M108" s="23"/>
      <c r="N108" s="11"/>
    </row>
    <row r="109" spans="1:14" s="10" customFormat="1" x14ac:dyDescent="0.25">
      <c r="A109" s="19"/>
      <c r="B109" s="20"/>
      <c r="C109" s="20"/>
      <c r="D109" s="20"/>
      <c r="E109" s="27"/>
      <c r="F109" s="21"/>
      <c r="G109" s="22"/>
      <c r="H109" s="25"/>
      <c r="I109" s="33"/>
      <c r="J109" s="25"/>
      <c r="K109" s="31"/>
      <c r="M109" s="23"/>
      <c r="N109" s="11"/>
    </row>
    <row r="110" spans="1:14" s="10" customFormat="1" x14ac:dyDescent="0.25">
      <c r="A110" s="19"/>
      <c r="B110" s="20"/>
      <c r="C110" s="20"/>
      <c r="D110" s="20"/>
      <c r="E110" s="27"/>
      <c r="F110" s="21"/>
      <c r="G110" s="22"/>
      <c r="H110" s="25"/>
      <c r="I110" s="33"/>
      <c r="J110" s="25"/>
      <c r="K110" s="31"/>
      <c r="M110" s="23"/>
      <c r="N110" s="11"/>
    </row>
    <row r="111" spans="1:14" s="10" customFormat="1" x14ac:dyDescent="0.25">
      <c r="A111" s="19"/>
      <c r="B111" s="20"/>
      <c r="C111" s="20"/>
      <c r="D111" s="20"/>
      <c r="E111" s="27"/>
      <c r="F111" s="21"/>
      <c r="G111" s="22"/>
      <c r="H111" s="25"/>
      <c r="I111" s="33"/>
      <c r="J111" s="25"/>
      <c r="K111" s="31"/>
      <c r="M111" s="23"/>
      <c r="N111" s="11"/>
    </row>
    <row r="112" spans="1:14" s="10" customFormat="1" x14ac:dyDescent="0.25">
      <c r="A112" s="19"/>
      <c r="B112" s="20"/>
      <c r="C112" s="20"/>
      <c r="D112" s="20"/>
      <c r="E112" s="27"/>
      <c r="F112" s="21"/>
      <c r="G112" s="22"/>
      <c r="H112" s="25"/>
      <c r="I112" s="33"/>
      <c r="J112" s="25"/>
      <c r="K112" s="31"/>
      <c r="M112" s="23"/>
      <c r="N112" s="11"/>
    </row>
    <row r="113" spans="1:14" s="10" customFormat="1" x14ac:dyDescent="0.25">
      <c r="A113" s="19"/>
      <c r="B113" s="20"/>
      <c r="C113" s="20"/>
      <c r="D113" s="20"/>
      <c r="E113" s="27"/>
      <c r="F113" s="21"/>
      <c r="G113" s="22"/>
      <c r="H113" s="25"/>
      <c r="I113" s="33"/>
      <c r="J113" s="25"/>
      <c r="K113" s="31"/>
      <c r="M113" s="23"/>
      <c r="N113" s="11"/>
    </row>
    <row r="114" spans="1:14" s="10" customFormat="1" x14ac:dyDescent="0.25">
      <c r="A114" s="19"/>
      <c r="B114" s="20"/>
      <c r="C114" s="20"/>
      <c r="D114" s="20"/>
      <c r="E114" s="27"/>
      <c r="F114" s="21"/>
      <c r="G114" s="22"/>
      <c r="H114" s="25"/>
      <c r="I114" s="33"/>
      <c r="J114" s="25"/>
      <c r="K114" s="31"/>
      <c r="M114" s="23"/>
      <c r="N114" s="11"/>
    </row>
    <row r="115" spans="1:14" s="10" customFormat="1" x14ac:dyDescent="0.25">
      <c r="A115" s="19"/>
      <c r="B115" s="20"/>
      <c r="C115" s="20"/>
      <c r="D115" s="20"/>
      <c r="E115" s="27"/>
      <c r="F115" s="21"/>
      <c r="G115" s="22"/>
      <c r="H115" s="25"/>
      <c r="I115" s="33"/>
      <c r="J115" s="25"/>
      <c r="K115" s="31"/>
      <c r="M115" s="23"/>
      <c r="N115" s="11"/>
    </row>
    <row r="116" spans="1:14" s="10" customFormat="1" x14ac:dyDescent="0.25">
      <c r="A116" s="19"/>
      <c r="B116" s="20"/>
      <c r="C116" s="20"/>
      <c r="D116" s="20"/>
      <c r="E116" s="27"/>
      <c r="F116" s="21"/>
      <c r="G116" s="22"/>
      <c r="H116" s="25"/>
      <c r="I116" s="33"/>
      <c r="J116" s="25"/>
      <c r="K116" s="31"/>
      <c r="M116" s="23"/>
      <c r="N116" s="11"/>
    </row>
    <row r="117" spans="1:14" s="10" customFormat="1" x14ac:dyDescent="0.25">
      <c r="A117" s="19"/>
      <c r="B117" s="20"/>
      <c r="C117" s="20"/>
      <c r="D117" s="20"/>
      <c r="E117" s="27"/>
      <c r="F117" s="21"/>
      <c r="G117" s="22"/>
      <c r="H117" s="25"/>
      <c r="I117" s="33"/>
      <c r="J117" s="25"/>
      <c r="K117" s="31"/>
      <c r="M117" s="23"/>
      <c r="N117" s="11"/>
    </row>
    <row r="118" spans="1:14" s="10" customFormat="1" x14ac:dyDescent="0.25">
      <c r="A118" s="19"/>
      <c r="B118" s="20"/>
      <c r="C118" s="20"/>
      <c r="D118" s="20"/>
      <c r="E118" s="27"/>
      <c r="F118" s="21"/>
      <c r="G118" s="22"/>
      <c r="H118" s="25"/>
      <c r="I118" s="33"/>
      <c r="J118" s="25"/>
      <c r="K118" s="31"/>
      <c r="M118" s="23"/>
      <c r="N118" s="11"/>
    </row>
    <row r="119" spans="1:14" s="10" customFormat="1" x14ac:dyDescent="0.25">
      <c r="A119" s="19"/>
      <c r="B119" s="20"/>
      <c r="C119" s="20"/>
      <c r="D119" s="20"/>
      <c r="E119" s="27"/>
      <c r="F119" s="21"/>
      <c r="G119" s="22"/>
      <c r="H119" s="25"/>
      <c r="I119" s="33"/>
      <c r="J119" s="25"/>
      <c r="K119" s="31"/>
      <c r="M119" s="23"/>
      <c r="N119" s="11"/>
    </row>
    <row r="120" spans="1:14" s="10" customFormat="1" x14ac:dyDescent="0.25">
      <c r="A120" s="19"/>
      <c r="B120" s="20"/>
      <c r="C120" s="20"/>
      <c r="D120" s="20"/>
      <c r="E120" s="27"/>
      <c r="F120" s="21"/>
      <c r="G120" s="22"/>
      <c r="H120" s="25"/>
      <c r="I120" s="33"/>
      <c r="J120" s="25"/>
      <c r="K120" s="31"/>
      <c r="M120" s="23"/>
      <c r="N120" s="11"/>
    </row>
    <row r="121" spans="1:14" s="10" customFormat="1" x14ac:dyDescent="0.25">
      <c r="A121" s="19"/>
      <c r="B121" s="20"/>
      <c r="C121" s="20"/>
      <c r="D121" s="20"/>
      <c r="E121" s="27"/>
      <c r="F121" s="21"/>
      <c r="G121" s="22"/>
      <c r="H121" s="25"/>
      <c r="I121" s="33"/>
      <c r="J121" s="25"/>
      <c r="K121" s="31"/>
      <c r="M121" s="23"/>
      <c r="N121" s="11"/>
    </row>
    <row r="122" spans="1:14" s="10" customFormat="1" x14ac:dyDescent="0.25">
      <c r="A122" s="19"/>
      <c r="B122" s="20"/>
      <c r="C122" s="20"/>
      <c r="D122" s="20"/>
      <c r="E122" s="27"/>
      <c r="F122" s="21"/>
      <c r="G122" s="22"/>
      <c r="H122" s="25"/>
      <c r="I122" s="33"/>
      <c r="J122" s="25"/>
      <c r="K122" s="31"/>
      <c r="M122" s="23"/>
      <c r="N122" s="11"/>
    </row>
    <row r="123" spans="1:14" s="10" customFormat="1" x14ac:dyDescent="0.25">
      <c r="A123" s="19"/>
      <c r="B123" s="20"/>
      <c r="C123" s="20"/>
      <c r="D123" s="20"/>
      <c r="E123" s="27"/>
      <c r="F123" s="21"/>
      <c r="G123" s="22"/>
      <c r="H123" s="25"/>
      <c r="I123" s="33"/>
      <c r="J123" s="25"/>
      <c r="K123" s="31"/>
      <c r="M123" s="23"/>
      <c r="N123" s="11"/>
    </row>
    <row r="124" spans="1:14" s="10" customFormat="1" x14ac:dyDescent="0.25">
      <c r="A124" s="19"/>
      <c r="B124" s="20"/>
      <c r="C124" s="20"/>
      <c r="D124" s="20"/>
      <c r="E124" s="27"/>
      <c r="F124" s="21"/>
      <c r="G124" s="22"/>
      <c r="H124" s="25"/>
      <c r="I124" s="33"/>
      <c r="J124" s="25"/>
      <c r="K124" s="31"/>
      <c r="M124" s="23"/>
      <c r="N124" s="11"/>
    </row>
    <row r="125" spans="1:14" s="10" customFormat="1" x14ac:dyDescent="0.25">
      <c r="A125" s="19"/>
      <c r="B125" s="20"/>
      <c r="C125" s="20"/>
      <c r="D125" s="20"/>
      <c r="E125" s="27"/>
      <c r="F125" s="21"/>
      <c r="G125" s="22"/>
      <c r="H125" s="25"/>
      <c r="I125" s="33"/>
      <c r="J125" s="25"/>
      <c r="K125" s="31"/>
      <c r="M125" s="23"/>
      <c r="N125" s="11"/>
    </row>
    <row r="126" spans="1:14" s="10" customFormat="1" x14ac:dyDescent="0.25">
      <c r="A126" s="19"/>
      <c r="B126" s="20"/>
      <c r="C126" s="20"/>
      <c r="D126" s="20"/>
      <c r="E126" s="27"/>
      <c r="F126" s="21"/>
      <c r="G126" s="22"/>
      <c r="H126" s="25"/>
      <c r="I126" s="33"/>
      <c r="J126" s="25"/>
      <c r="K126" s="31"/>
      <c r="M126" s="23"/>
      <c r="N126" s="11"/>
    </row>
    <row r="127" spans="1:14" s="10" customFormat="1" x14ac:dyDescent="0.25">
      <c r="A127" s="19"/>
      <c r="B127" s="20"/>
      <c r="C127" s="20"/>
      <c r="D127" s="20"/>
      <c r="E127" s="27"/>
      <c r="F127" s="21"/>
      <c r="G127" s="22"/>
      <c r="H127" s="25"/>
      <c r="I127" s="33"/>
      <c r="J127" s="25"/>
      <c r="K127" s="31"/>
      <c r="M127" s="23"/>
      <c r="N127" s="11"/>
    </row>
    <row r="128" spans="1:14" s="10" customFormat="1" x14ac:dyDescent="0.25">
      <c r="A128" s="19"/>
      <c r="B128" s="20"/>
      <c r="C128" s="20"/>
      <c r="D128" s="20"/>
      <c r="E128" s="27"/>
      <c r="F128" s="21"/>
      <c r="G128" s="22"/>
      <c r="H128" s="25"/>
      <c r="I128" s="33"/>
      <c r="J128" s="25"/>
      <c r="K128" s="31"/>
      <c r="M128" s="23"/>
      <c r="N128" s="11"/>
    </row>
    <row r="129" spans="1:14" s="10" customFormat="1" x14ac:dyDescent="0.25">
      <c r="A129" s="19"/>
      <c r="B129" s="20"/>
      <c r="C129" s="20"/>
      <c r="D129" s="20"/>
      <c r="E129" s="27"/>
      <c r="F129" s="21"/>
      <c r="G129" s="22"/>
      <c r="H129" s="25"/>
      <c r="I129" s="33"/>
      <c r="J129" s="25"/>
      <c r="K129" s="31"/>
      <c r="M129" s="23"/>
      <c r="N129" s="11"/>
    </row>
    <row r="130" spans="1:14" s="10" customFormat="1" x14ac:dyDescent="0.25">
      <c r="A130" s="19"/>
      <c r="B130" s="20"/>
      <c r="C130" s="20"/>
      <c r="D130" s="20"/>
      <c r="E130" s="27"/>
      <c r="F130" s="21"/>
      <c r="G130" s="22"/>
      <c r="H130" s="25"/>
      <c r="I130" s="33"/>
      <c r="J130" s="25"/>
      <c r="K130" s="31"/>
      <c r="M130" s="23"/>
      <c r="N130" s="11"/>
    </row>
    <row r="131" spans="1:14" s="10" customFormat="1" x14ac:dyDescent="0.25">
      <c r="A131" s="19"/>
      <c r="B131" s="20"/>
      <c r="C131" s="20"/>
      <c r="D131" s="20"/>
      <c r="E131" s="27"/>
      <c r="F131" s="21"/>
      <c r="G131" s="22"/>
      <c r="H131" s="25"/>
      <c r="I131" s="33"/>
      <c r="J131" s="25"/>
      <c r="K131" s="31"/>
      <c r="M131" s="23"/>
      <c r="N131" s="11"/>
    </row>
    <row r="132" spans="1:14" s="10" customFormat="1" x14ac:dyDescent="0.25">
      <c r="A132" s="19"/>
      <c r="B132" s="20"/>
      <c r="C132" s="20"/>
      <c r="D132" s="20"/>
      <c r="E132" s="27"/>
      <c r="F132" s="21"/>
      <c r="G132" s="22"/>
      <c r="H132" s="25"/>
      <c r="I132" s="33"/>
      <c r="J132" s="25"/>
      <c r="K132" s="31"/>
      <c r="M132" s="23"/>
      <c r="N132" s="11"/>
    </row>
  </sheetData>
  <autoFilter ref="A1:P11" xr:uid="{00000000-0009-0000-0000-000001000000}">
    <sortState xmlns:xlrd2="http://schemas.microsoft.com/office/spreadsheetml/2017/richdata2" ref="A2:Q81">
      <sortCondition ref="F1:F11"/>
    </sortState>
  </autoFilter>
  <conditionalFormatting sqref="L1:XFD1 A1:J1">
    <cfRule type="beginsWith" dxfId="59" priority="82" operator="beginsWith" text="[K_">
      <formula>LEFT(A1,LEN("[K_"))="[K_"</formula>
    </cfRule>
  </conditionalFormatting>
  <conditionalFormatting sqref="K1">
    <cfRule type="beginsWith" dxfId="58" priority="80" operator="beginsWith" text="[K_">
      <formula>LEFT(K1,LEN("[K_"))="[K_"</formula>
    </cfRule>
  </conditionalFormatting>
  <conditionalFormatting sqref="H80:H132 B80:E132 J80:J132">
    <cfRule type="beginsWith" dxfId="57" priority="77" operator="beginsWith" text="[K_">
      <formula>LEFT(B80,LEN("[K_"))="[K_"</formula>
    </cfRule>
  </conditionalFormatting>
  <conditionalFormatting sqref="F80:F1048576 F1:F3">
    <cfRule type="duplicateValues" dxfId="56" priority="76"/>
  </conditionalFormatting>
  <conditionalFormatting sqref="E80:E1048576 E1:E3">
    <cfRule type="duplicateValues" dxfId="55" priority="72"/>
  </conditionalFormatting>
  <conditionalFormatting sqref="H3:J3 B3:D3">
    <cfRule type="beginsWith" dxfId="54" priority="81" operator="beginsWith" text="[K_">
      <formula>LEFT(#REF!,LEN("[K_"))="[K_"</formula>
    </cfRule>
  </conditionalFormatting>
  <conditionalFormatting sqref="I80:I132">
    <cfRule type="beginsWith" dxfId="53" priority="78" operator="beginsWith" text="[K_">
      <formula>LEFT(#REF!,LEN("[K_"))="[K_"</formula>
    </cfRule>
  </conditionalFormatting>
  <conditionalFormatting sqref="H4">
    <cfRule type="beginsWith" dxfId="52" priority="68" operator="beginsWith" text="[K_">
      <formula>LEFT(#REF!,LEN("[K_"))="[K_"</formula>
    </cfRule>
  </conditionalFormatting>
  <conditionalFormatting sqref="B5:D15">
    <cfRule type="beginsWith" dxfId="51" priority="63" operator="beginsWith" text="[K_">
      <formula>LEFT(#REF!,LEN("[K_"))="[K_"</formula>
    </cfRule>
  </conditionalFormatting>
  <conditionalFormatting sqref="I5:I15">
    <cfRule type="beginsWith" dxfId="50" priority="64" operator="beginsWith" text="[K_">
      <formula>LEFT(#REF!,LEN("[K_"))="[K_"</formula>
    </cfRule>
  </conditionalFormatting>
  <conditionalFormatting sqref="I4">
    <cfRule type="beginsWith" dxfId="49" priority="67" operator="beginsWith" text="[K_">
      <formula>LEFT(#REF!,LEN("[K_"))="[K_"</formula>
    </cfRule>
  </conditionalFormatting>
  <conditionalFormatting sqref="B4:D4">
    <cfRule type="beginsWith" dxfId="48" priority="66" operator="beginsWith" text="[K_">
      <formula>LEFT(#REF!,LEN("[K_"))="[K_"</formula>
    </cfRule>
  </conditionalFormatting>
  <conditionalFormatting sqref="H5:H15">
    <cfRule type="beginsWith" dxfId="47" priority="65" operator="beginsWith" text="[K_">
      <formula>LEFT(#REF!,LEN("[K_"))="[K_"</formula>
    </cfRule>
  </conditionalFormatting>
  <conditionalFormatting sqref="B16:D18">
    <cfRule type="beginsWith" dxfId="46" priority="59" operator="beginsWith" text="[K_">
      <formula>LEFT(#REF!,LEN("[K_"))="[K_"</formula>
    </cfRule>
  </conditionalFormatting>
  <conditionalFormatting sqref="I16:I18">
    <cfRule type="beginsWith" dxfId="45" priority="60" operator="beginsWith" text="[K_">
      <formula>LEFT(#REF!,LEN("[K_"))="[K_"</formula>
    </cfRule>
  </conditionalFormatting>
  <conditionalFormatting sqref="H16:H18">
    <cfRule type="beginsWith" dxfId="44" priority="61" operator="beginsWith" text="[K_">
      <formula>LEFT(#REF!,LEN("[K_"))="[K_"</formula>
    </cfRule>
  </conditionalFormatting>
  <conditionalFormatting sqref="H19">
    <cfRule type="beginsWith" dxfId="43" priority="57" operator="beginsWith" text="[K_">
      <formula>LEFT(#REF!,LEN("[K_"))="[K_"</formula>
    </cfRule>
  </conditionalFormatting>
  <conditionalFormatting sqref="B20:D30">
    <cfRule type="beginsWith" dxfId="42" priority="52" operator="beginsWith" text="[K_">
      <formula>LEFT(#REF!,LEN("[K_"))="[K_"</formula>
    </cfRule>
  </conditionalFormatting>
  <conditionalFormatting sqref="I20:I30">
    <cfRule type="beginsWith" dxfId="41" priority="53" operator="beginsWith" text="[K_">
      <formula>LEFT(#REF!,LEN("[K_"))="[K_"</formula>
    </cfRule>
  </conditionalFormatting>
  <conditionalFormatting sqref="I19">
    <cfRule type="beginsWith" dxfId="40" priority="56" operator="beginsWith" text="[K_">
      <formula>LEFT(#REF!,LEN("[K_"))="[K_"</formula>
    </cfRule>
  </conditionalFormatting>
  <conditionalFormatting sqref="B19:D19">
    <cfRule type="beginsWith" dxfId="39" priority="55" operator="beginsWith" text="[K_">
      <formula>LEFT(#REF!,LEN("[K_"))="[K_"</formula>
    </cfRule>
  </conditionalFormatting>
  <conditionalFormatting sqref="H20:H30">
    <cfRule type="beginsWith" dxfId="38" priority="54" operator="beginsWith" text="[K_">
      <formula>LEFT(#REF!,LEN("[K_"))="[K_"</formula>
    </cfRule>
  </conditionalFormatting>
  <conditionalFormatting sqref="B31:D33">
    <cfRule type="beginsWith" dxfId="37" priority="48" operator="beginsWith" text="[K_">
      <formula>LEFT(#REF!,LEN("[K_"))="[K_"</formula>
    </cfRule>
  </conditionalFormatting>
  <conditionalFormatting sqref="I31:I33">
    <cfRule type="beginsWith" dxfId="36" priority="49" operator="beginsWith" text="[K_">
      <formula>LEFT(#REF!,LEN("[K_"))="[K_"</formula>
    </cfRule>
  </conditionalFormatting>
  <conditionalFormatting sqref="H31:H33">
    <cfRule type="beginsWith" dxfId="35" priority="50" operator="beginsWith" text="[K_">
      <formula>LEFT(#REF!,LEN("[K_"))="[K_"</formula>
    </cfRule>
  </conditionalFormatting>
  <conditionalFormatting sqref="B34:D34">
    <cfRule type="beginsWith" dxfId="34" priority="44" operator="beginsWith" text="[K_">
      <formula>LEFT(#REF!,LEN("[K_"))="[K_"</formula>
    </cfRule>
  </conditionalFormatting>
  <conditionalFormatting sqref="I34">
    <cfRule type="beginsWith" dxfId="33" priority="45" operator="beginsWith" text="[K_">
      <formula>LEFT(#REF!,LEN("[K_"))="[K_"</formula>
    </cfRule>
  </conditionalFormatting>
  <conditionalFormatting sqref="H34">
    <cfRule type="beginsWith" dxfId="32" priority="46" operator="beginsWith" text="[K_">
      <formula>LEFT(#REF!,LEN("[K_"))="[K_"</formula>
    </cfRule>
  </conditionalFormatting>
  <conditionalFormatting sqref="B35:D37">
    <cfRule type="beginsWith" dxfId="31" priority="40" operator="beginsWith" text="[K_">
      <formula>LEFT(#REF!,LEN("[K_"))="[K_"</formula>
    </cfRule>
  </conditionalFormatting>
  <conditionalFormatting sqref="I35:I37">
    <cfRule type="beginsWith" dxfId="30" priority="41" operator="beginsWith" text="[K_">
      <formula>LEFT(#REF!,LEN("[K_"))="[K_"</formula>
    </cfRule>
  </conditionalFormatting>
  <conditionalFormatting sqref="H35:H37">
    <cfRule type="beginsWith" dxfId="29" priority="42" operator="beginsWith" text="[K_">
      <formula>LEFT(#REF!,LEN("[K_"))="[K_"</formula>
    </cfRule>
  </conditionalFormatting>
  <conditionalFormatting sqref="H38">
    <cfRule type="beginsWith" dxfId="28" priority="38" operator="beginsWith" text="[K_">
      <formula>LEFT(#REF!,LEN("[K_"))="[K_"</formula>
    </cfRule>
  </conditionalFormatting>
  <conditionalFormatting sqref="B39:D49">
    <cfRule type="beginsWith" dxfId="27" priority="33" operator="beginsWith" text="[K_">
      <formula>LEFT(#REF!,LEN("[K_"))="[K_"</formula>
    </cfRule>
  </conditionalFormatting>
  <conditionalFormatting sqref="I39:I49">
    <cfRule type="beginsWith" dxfId="26" priority="34" operator="beginsWith" text="[K_">
      <formula>LEFT(#REF!,LEN("[K_"))="[K_"</formula>
    </cfRule>
  </conditionalFormatting>
  <conditionalFormatting sqref="I38">
    <cfRule type="beginsWith" dxfId="25" priority="37" operator="beginsWith" text="[K_">
      <formula>LEFT(#REF!,LEN("[K_"))="[K_"</formula>
    </cfRule>
  </conditionalFormatting>
  <conditionalFormatting sqref="B38:D38">
    <cfRule type="beginsWith" dxfId="24" priority="36" operator="beginsWith" text="[K_">
      <formula>LEFT(#REF!,LEN("[K_"))="[K_"</formula>
    </cfRule>
  </conditionalFormatting>
  <conditionalFormatting sqref="H39:H49">
    <cfRule type="beginsWith" dxfId="23" priority="35" operator="beginsWith" text="[K_">
      <formula>LEFT(#REF!,LEN("[K_"))="[K_"</formula>
    </cfRule>
  </conditionalFormatting>
  <conditionalFormatting sqref="B50:D52">
    <cfRule type="beginsWith" dxfId="22" priority="29" operator="beginsWith" text="[K_">
      <formula>LEFT(#REF!,LEN("[K_"))="[K_"</formula>
    </cfRule>
  </conditionalFormatting>
  <conditionalFormatting sqref="I50:I52">
    <cfRule type="beginsWith" dxfId="21" priority="30" operator="beginsWith" text="[K_">
      <formula>LEFT(#REF!,LEN("[K_"))="[K_"</formula>
    </cfRule>
  </conditionalFormatting>
  <conditionalFormatting sqref="H50:H52">
    <cfRule type="beginsWith" dxfId="20" priority="31" operator="beginsWith" text="[K_">
      <formula>LEFT(#REF!,LEN("[K_"))="[K_"</formula>
    </cfRule>
  </conditionalFormatting>
  <conditionalFormatting sqref="B53:D53">
    <cfRule type="beginsWith" dxfId="19" priority="25" operator="beginsWith" text="[K_">
      <formula>LEFT(#REF!,LEN("[K_"))="[K_"</formula>
    </cfRule>
  </conditionalFormatting>
  <conditionalFormatting sqref="I53">
    <cfRule type="beginsWith" dxfId="18" priority="26" operator="beginsWith" text="[K_">
      <formula>LEFT(#REF!,LEN("[K_"))="[K_"</formula>
    </cfRule>
  </conditionalFormatting>
  <conditionalFormatting sqref="H53">
    <cfRule type="beginsWith" dxfId="17" priority="27" operator="beginsWith" text="[K_">
      <formula>LEFT(#REF!,LEN("[K_"))="[K_"</formula>
    </cfRule>
  </conditionalFormatting>
  <conditionalFormatting sqref="B54:D56">
    <cfRule type="beginsWith" dxfId="16" priority="21" operator="beginsWith" text="[K_">
      <formula>LEFT(#REF!,LEN("[K_"))="[K_"</formula>
    </cfRule>
  </conditionalFormatting>
  <conditionalFormatting sqref="I54:I56">
    <cfRule type="beginsWith" dxfId="15" priority="22" operator="beginsWith" text="[K_">
      <formula>LEFT(#REF!,LEN("[K_"))="[K_"</formula>
    </cfRule>
  </conditionalFormatting>
  <conditionalFormatting sqref="H54:H56">
    <cfRule type="beginsWith" dxfId="14" priority="23" operator="beginsWith" text="[K_">
      <formula>LEFT(#REF!,LEN("[K_"))="[K_"</formula>
    </cfRule>
  </conditionalFormatting>
  <conditionalFormatting sqref="H57">
    <cfRule type="beginsWith" dxfId="13" priority="19" operator="beginsWith" text="[K_">
      <formula>LEFT(#REF!,LEN("[K_"))="[K_"</formula>
    </cfRule>
  </conditionalFormatting>
  <conditionalFormatting sqref="B58:D68">
    <cfRule type="beginsWith" dxfId="12" priority="14" operator="beginsWith" text="[K_">
      <formula>LEFT(#REF!,LEN("[K_"))="[K_"</formula>
    </cfRule>
  </conditionalFormatting>
  <conditionalFormatting sqref="I58:I68">
    <cfRule type="beginsWith" dxfId="11" priority="15" operator="beginsWith" text="[K_">
      <formula>LEFT(#REF!,LEN("[K_"))="[K_"</formula>
    </cfRule>
  </conditionalFormatting>
  <conditionalFormatting sqref="I57">
    <cfRule type="beginsWith" dxfId="10" priority="18" operator="beginsWith" text="[K_">
      <formula>LEFT(#REF!,LEN("[K_"))="[K_"</formula>
    </cfRule>
  </conditionalFormatting>
  <conditionalFormatting sqref="B57:D57">
    <cfRule type="beginsWith" dxfId="9" priority="17" operator="beginsWith" text="[K_">
      <formula>LEFT(#REF!,LEN("[K_"))="[K_"</formula>
    </cfRule>
  </conditionalFormatting>
  <conditionalFormatting sqref="H58:H68">
    <cfRule type="beginsWith" dxfId="8" priority="16" operator="beginsWith" text="[K_">
      <formula>LEFT(#REF!,LEN("[K_"))="[K_"</formula>
    </cfRule>
  </conditionalFormatting>
  <conditionalFormatting sqref="B69:D69">
    <cfRule type="beginsWith" dxfId="7" priority="10" operator="beginsWith" text="[K_">
      <formula>LEFT(#REF!,LEN("[K_"))="[K_"</formula>
    </cfRule>
  </conditionalFormatting>
  <conditionalFormatting sqref="I69">
    <cfRule type="beginsWith" dxfId="6" priority="11" operator="beginsWith" text="[K_">
      <formula>LEFT(#REF!,LEN("[K_"))="[K_"</formula>
    </cfRule>
  </conditionalFormatting>
  <conditionalFormatting sqref="H69">
    <cfRule type="beginsWith" dxfId="5" priority="12" operator="beginsWith" text="[K_">
      <formula>LEFT(#REF!,LEN("[K_"))="[K_"</formula>
    </cfRule>
  </conditionalFormatting>
  <conditionalFormatting sqref="J4:J69">
    <cfRule type="beginsWith" dxfId="4" priority="9" operator="beginsWith" text="[K_">
      <formula>LEFT(#REF!,LEN("[K_"))="[K_"</formula>
    </cfRule>
  </conditionalFormatting>
  <conditionalFormatting sqref="B70:D79">
    <cfRule type="beginsWith" dxfId="3" priority="2" operator="beginsWith" text="[K_">
      <formula>LEFT(#REF!,LEN("[K_"))="[K_"</formula>
    </cfRule>
  </conditionalFormatting>
  <conditionalFormatting sqref="I70:I79">
    <cfRule type="beginsWith" dxfId="2" priority="3" operator="beginsWith" text="[K_">
      <formula>LEFT(#REF!,LEN("[K_"))="[K_"</formula>
    </cfRule>
  </conditionalFormatting>
  <conditionalFormatting sqref="H70:H79">
    <cfRule type="beginsWith" dxfId="1" priority="4" operator="beginsWith" text="[K_">
      <formula>LEFT(#REF!,LEN("[K_"))="[K_"</formula>
    </cfRule>
  </conditionalFormatting>
  <conditionalFormatting sqref="J70:J79">
    <cfRule type="beginsWith" dxfId="0" priority="1" operator="beginsWith" text="[K_">
      <formula>LEFT(#REF!,LEN("[K_"))="[K_"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EBA5-6FDA-4BBE-B15C-4E8647CD5A3F}">
  <dimension ref="B3:B79"/>
  <sheetViews>
    <sheetView topLeftCell="A57" workbookViewId="0">
      <selection activeCell="E84" sqref="E84"/>
    </sheetView>
  </sheetViews>
  <sheetFormatPr baseColWidth="10" defaultRowHeight="15" x14ac:dyDescent="0.25"/>
  <cols>
    <col min="2" max="2" width="60.5703125" bestFit="1" customWidth="1"/>
  </cols>
  <sheetData>
    <row r="3" spans="2:2" x14ac:dyDescent="0.25">
      <c r="B3" t="s">
        <v>233</v>
      </c>
    </row>
    <row r="4" spans="2:2" x14ac:dyDescent="0.25">
      <c r="B4" t="s">
        <v>253</v>
      </c>
    </row>
    <row r="5" spans="2:2" x14ac:dyDescent="0.25">
      <c r="B5" t="s">
        <v>255</v>
      </c>
    </row>
    <row r="6" spans="2:2" x14ac:dyDescent="0.25">
      <c r="B6" t="s">
        <v>252</v>
      </c>
    </row>
    <row r="7" spans="2:2" x14ac:dyDescent="0.25">
      <c r="B7" t="s">
        <v>234</v>
      </c>
    </row>
    <row r="8" spans="2:2" x14ac:dyDescent="0.25">
      <c r="B8" t="s">
        <v>272</v>
      </c>
    </row>
    <row r="9" spans="2:2" x14ac:dyDescent="0.25">
      <c r="B9" t="s">
        <v>256</v>
      </c>
    </row>
    <row r="10" spans="2:2" x14ac:dyDescent="0.25">
      <c r="B10" t="s">
        <v>235</v>
      </c>
    </row>
    <row r="11" spans="2:2" x14ac:dyDescent="0.25">
      <c r="B11" t="s">
        <v>273</v>
      </c>
    </row>
    <row r="12" spans="2:2" x14ac:dyDescent="0.25">
      <c r="B12" t="s">
        <v>216</v>
      </c>
    </row>
    <row r="13" spans="2:2" x14ac:dyDescent="0.25">
      <c r="B13" t="s">
        <v>217</v>
      </c>
    </row>
    <row r="14" spans="2:2" x14ac:dyDescent="0.25">
      <c r="B14" t="s">
        <v>274</v>
      </c>
    </row>
    <row r="15" spans="2:2" x14ac:dyDescent="0.25">
      <c r="B15" t="s">
        <v>279</v>
      </c>
    </row>
    <row r="16" spans="2:2" x14ac:dyDescent="0.25">
      <c r="B16" t="s">
        <v>236</v>
      </c>
    </row>
    <row r="17" spans="2:2" x14ac:dyDescent="0.25">
      <c r="B17" t="s">
        <v>218</v>
      </c>
    </row>
    <row r="18" spans="2:2" x14ac:dyDescent="0.25">
      <c r="B18" t="s">
        <v>257</v>
      </c>
    </row>
    <row r="19" spans="2:2" x14ac:dyDescent="0.25">
      <c r="B19" t="s">
        <v>237</v>
      </c>
    </row>
    <row r="20" spans="2:2" x14ac:dyDescent="0.25">
      <c r="B20" t="s">
        <v>280</v>
      </c>
    </row>
    <row r="21" spans="2:2" x14ac:dyDescent="0.25">
      <c r="B21" t="s">
        <v>219</v>
      </c>
    </row>
    <row r="22" spans="2:2" x14ac:dyDescent="0.25">
      <c r="B22" t="s">
        <v>220</v>
      </c>
    </row>
    <row r="23" spans="2:2" x14ac:dyDescent="0.25">
      <c r="B23" t="s">
        <v>238</v>
      </c>
    </row>
    <row r="24" spans="2:2" x14ac:dyDescent="0.25">
      <c r="B24" t="s">
        <v>258</v>
      </c>
    </row>
    <row r="25" spans="2:2" x14ac:dyDescent="0.25">
      <c r="B25" t="s">
        <v>221</v>
      </c>
    </row>
    <row r="26" spans="2:2" x14ac:dyDescent="0.25">
      <c r="B26" t="s">
        <v>239</v>
      </c>
    </row>
    <row r="27" spans="2:2" x14ac:dyDescent="0.25">
      <c r="B27" t="s">
        <v>240</v>
      </c>
    </row>
    <row r="28" spans="2:2" x14ac:dyDescent="0.25">
      <c r="B28" t="s">
        <v>259</v>
      </c>
    </row>
    <row r="29" spans="2:2" x14ac:dyDescent="0.25">
      <c r="B29" t="s">
        <v>260</v>
      </c>
    </row>
    <row r="30" spans="2:2" x14ac:dyDescent="0.25">
      <c r="B30" t="s">
        <v>241</v>
      </c>
    </row>
    <row r="31" spans="2:2" x14ac:dyDescent="0.25">
      <c r="B31" t="s">
        <v>242</v>
      </c>
    </row>
    <row r="32" spans="2:2" x14ac:dyDescent="0.25">
      <c r="B32" t="s">
        <v>222</v>
      </c>
    </row>
    <row r="33" spans="2:2" x14ac:dyDescent="0.25">
      <c r="B33" t="s">
        <v>281</v>
      </c>
    </row>
    <row r="34" spans="2:2" x14ac:dyDescent="0.25">
      <c r="B34" t="s">
        <v>223</v>
      </c>
    </row>
    <row r="35" spans="2:2" x14ac:dyDescent="0.25">
      <c r="B35" t="s">
        <v>282</v>
      </c>
    </row>
    <row r="36" spans="2:2" x14ac:dyDescent="0.25">
      <c r="B36" t="s">
        <v>243</v>
      </c>
    </row>
    <row r="37" spans="2:2" x14ac:dyDescent="0.25">
      <c r="B37" t="s">
        <v>244</v>
      </c>
    </row>
    <row r="38" spans="2:2" x14ac:dyDescent="0.25">
      <c r="B38" t="s">
        <v>261</v>
      </c>
    </row>
    <row r="39" spans="2:2" x14ac:dyDescent="0.25">
      <c r="B39" t="s">
        <v>262</v>
      </c>
    </row>
    <row r="40" spans="2:2" x14ac:dyDescent="0.25">
      <c r="B40" t="s">
        <v>283</v>
      </c>
    </row>
    <row r="41" spans="2:2" x14ac:dyDescent="0.25">
      <c r="B41" t="s">
        <v>284</v>
      </c>
    </row>
    <row r="42" spans="2:2" x14ac:dyDescent="0.25">
      <c r="B42" t="s">
        <v>285</v>
      </c>
    </row>
    <row r="43" spans="2:2" x14ac:dyDescent="0.25">
      <c r="B43" t="s">
        <v>224</v>
      </c>
    </row>
    <row r="44" spans="2:2" x14ac:dyDescent="0.25">
      <c r="B44" t="s">
        <v>225</v>
      </c>
    </row>
    <row r="45" spans="2:2" x14ac:dyDescent="0.25">
      <c r="B45" t="s">
        <v>263</v>
      </c>
    </row>
    <row r="46" spans="2:2" x14ac:dyDescent="0.25">
      <c r="B46" t="s">
        <v>226</v>
      </c>
    </row>
    <row r="47" spans="2:2" x14ac:dyDescent="0.25">
      <c r="B47" t="s">
        <v>227</v>
      </c>
    </row>
    <row r="48" spans="2:2" x14ac:dyDescent="0.25">
      <c r="B48" t="s">
        <v>254</v>
      </c>
    </row>
    <row r="49" spans="2:2" x14ac:dyDescent="0.25">
      <c r="B49" t="s">
        <v>228</v>
      </c>
    </row>
    <row r="50" spans="2:2" x14ac:dyDescent="0.25">
      <c r="B50" t="s">
        <v>286</v>
      </c>
    </row>
    <row r="51" spans="2:2" x14ac:dyDescent="0.25">
      <c r="B51" t="s">
        <v>275</v>
      </c>
    </row>
    <row r="52" spans="2:2" x14ac:dyDescent="0.25">
      <c r="B52" t="s">
        <v>264</v>
      </c>
    </row>
    <row r="53" spans="2:2" x14ac:dyDescent="0.25">
      <c r="B53" t="s">
        <v>287</v>
      </c>
    </row>
    <row r="54" spans="2:2" x14ac:dyDescent="0.25">
      <c r="B54" t="s">
        <v>265</v>
      </c>
    </row>
    <row r="55" spans="2:2" x14ac:dyDescent="0.25">
      <c r="B55" t="s">
        <v>276</v>
      </c>
    </row>
    <row r="56" spans="2:2" x14ac:dyDescent="0.25">
      <c r="B56" t="s">
        <v>245</v>
      </c>
    </row>
    <row r="57" spans="2:2" x14ac:dyDescent="0.25">
      <c r="B57" t="s">
        <v>277</v>
      </c>
    </row>
    <row r="58" spans="2:2" x14ac:dyDescent="0.25">
      <c r="B58" t="s">
        <v>246</v>
      </c>
    </row>
    <row r="59" spans="2:2" x14ac:dyDescent="0.25">
      <c r="B59" t="s">
        <v>266</v>
      </c>
    </row>
    <row r="60" spans="2:2" x14ac:dyDescent="0.25">
      <c r="B60" t="s">
        <v>267</v>
      </c>
    </row>
    <row r="61" spans="2:2" x14ac:dyDescent="0.25">
      <c r="B61" t="s">
        <v>268</v>
      </c>
    </row>
    <row r="62" spans="2:2" x14ac:dyDescent="0.25">
      <c r="B62" t="s">
        <v>269</v>
      </c>
    </row>
    <row r="63" spans="2:2" x14ac:dyDescent="0.25">
      <c r="B63" t="s">
        <v>288</v>
      </c>
    </row>
    <row r="64" spans="2:2" x14ac:dyDescent="0.25">
      <c r="B64" t="s">
        <v>247</v>
      </c>
    </row>
    <row r="65" spans="2:2" x14ac:dyDescent="0.25">
      <c r="B65" t="s">
        <v>270</v>
      </c>
    </row>
    <row r="66" spans="2:2" x14ac:dyDescent="0.25">
      <c r="B66" t="s">
        <v>289</v>
      </c>
    </row>
    <row r="67" spans="2:2" x14ac:dyDescent="0.25">
      <c r="B67" t="s">
        <v>229</v>
      </c>
    </row>
    <row r="68" spans="2:2" x14ac:dyDescent="0.25">
      <c r="B68" t="s">
        <v>271</v>
      </c>
    </row>
    <row r="69" spans="2:2" x14ac:dyDescent="0.25">
      <c r="B69" t="s">
        <v>290</v>
      </c>
    </row>
    <row r="70" spans="2:2" x14ac:dyDescent="0.25">
      <c r="B70" t="s">
        <v>248</v>
      </c>
    </row>
    <row r="71" spans="2:2" x14ac:dyDescent="0.25">
      <c r="B71" t="s">
        <v>230</v>
      </c>
    </row>
    <row r="72" spans="2:2" x14ac:dyDescent="0.25">
      <c r="B72" t="s">
        <v>291</v>
      </c>
    </row>
    <row r="73" spans="2:2" x14ac:dyDescent="0.25">
      <c r="B73" t="s">
        <v>278</v>
      </c>
    </row>
    <row r="74" spans="2:2" x14ac:dyDescent="0.25">
      <c r="B74" t="s">
        <v>249</v>
      </c>
    </row>
    <row r="75" spans="2:2" x14ac:dyDescent="0.25">
      <c r="B75" t="s">
        <v>250</v>
      </c>
    </row>
    <row r="76" spans="2:2" x14ac:dyDescent="0.25">
      <c r="B76" t="s">
        <v>231</v>
      </c>
    </row>
    <row r="77" spans="2:2" x14ac:dyDescent="0.25">
      <c r="B77" t="s">
        <v>232</v>
      </c>
    </row>
    <row r="78" spans="2:2" x14ac:dyDescent="0.25">
      <c r="B78" t="s">
        <v>292</v>
      </c>
    </row>
    <row r="79" spans="2:2" x14ac:dyDescent="0.25">
      <c r="B79" t="s">
        <v>251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TABLE</vt:lpstr>
      <vt:lpstr>CI_MEX</vt:lpstr>
      <vt:lpstr>CI_USA</vt:lpstr>
      <vt:lpstr>CI_CANADA</vt:lpstr>
      <vt:lpstr>CI_AUSTRALIA</vt:lpstr>
      <vt:lpstr>CI_TAILANDIA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la Rosa</dc:creator>
  <cp:lastModifiedBy>Alejandro de la Rosa</cp:lastModifiedBy>
  <dcterms:created xsi:type="dcterms:W3CDTF">2018-09-05T16:16:25Z</dcterms:created>
  <dcterms:modified xsi:type="dcterms:W3CDTF">2021-01-19T16:48:19Z</dcterms:modified>
</cp:coreProperties>
</file>