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1.PROJECTS\2019.COTIZACIONES\COT19_SQL\QUO19_Scripts_Base_v0001_20190912\Scripts_R000_SYS\Scripts_R040_Location_GEO\"/>
    </mc:Choice>
  </mc:AlternateContent>
  <bookViews>
    <workbookView xWindow="0" yWindow="0" windowWidth="20490" windowHeight="7620" activeTab="1"/>
  </bookViews>
  <sheets>
    <sheet name="TABLE" sheetId="2" r:id="rId1"/>
    <sheet name="CI_" sheetId="1" r:id="rId2"/>
  </sheets>
  <definedNames>
    <definedName name="_xlnm._FilterDatabase" localSheetId="1" hidden="1">CI_!$A$1:$P$11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" i="2" l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4" i="1" l="1"/>
  <c r="I5" i="1"/>
  <c r="I6" i="1"/>
  <c r="I7" i="1"/>
  <c r="I8" i="1"/>
  <c r="I3" i="1" l="1"/>
  <c r="M2" i="1" l="1"/>
  <c r="N1" i="1" l="1"/>
  <c r="P1" i="1" s="1"/>
  <c r="M35" i="1" l="1"/>
  <c r="M32" i="1"/>
  <c r="M29" i="1"/>
  <c r="M26" i="1"/>
  <c r="M23" i="1"/>
  <c r="M20" i="1"/>
  <c r="M17" i="1"/>
  <c r="M14" i="1"/>
  <c r="M11" i="1"/>
  <c r="M34" i="1"/>
  <c r="M31" i="1"/>
  <c r="M28" i="1"/>
  <c r="M25" i="1"/>
  <c r="M22" i="1"/>
  <c r="M19" i="1"/>
  <c r="M16" i="1"/>
  <c r="M13" i="1"/>
  <c r="M10" i="1"/>
  <c r="M33" i="1"/>
  <c r="M30" i="1"/>
  <c r="M27" i="1"/>
  <c r="M24" i="1"/>
  <c r="M21" i="1"/>
  <c r="M18" i="1"/>
  <c r="M15" i="1"/>
  <c r="M12" i="1"/>
  <c r="M9" i="1"/>
  <c r="M8" i="1"/>
  <c r="M7" i="1"/>
  <c r="M4" i="1"/>
  <c r="M3" i="1"/>
  <c r="M6" i="1"/>
  <c r="M5" i="1"/>
</calcChain>
</file>

<file path=xl/sharedStrings.xml><?xml version="1.0" encoding="utf-8"?>
<sst xmlns="http://schemas.openxmlformats.org/spreadsheetml/2006/main" count="114" uniqueCount="88">
  <si>
    <t>L_DEBUG</t>
  </si>
  <si>
    <t>K_SISTEMA_EXE</t>
  </si>
  <si>
    <t>K_USUARIO_ACCION</t>
  </si>
  <si>
    <t>X</t>
  </si>
  <si>
    <t>Tipo Dato</t>
  </si>
  <si>
    <t>PK</t>
  </si>
  <si>
    <t xml:space="preserve">] </t>
  </si>
  <si>
    <t>-</t>
  </si>
  <si>
    <t>???</t>
  </si>
  <si>
    <t>EXECUTE [dbo].[</t>
  </si>
  <si>
    <t>[INT]</t>
  </si>
  <si>
    <t>Nombre Campo</t>
  </si>
  <si>
    <t xml:space="preserve">[VARCHAR] (100) </t>
  </si>
  <si>
    <t>[VARCHAR] (10)</t>
  </si>
  <si>
    <t xml:space="preserve">[VARCHAR] (255) </t>
  </si>
  <si>
    <t>Aguascalientes</t>
  </si>
  <si>
    <t>Baja California</t>
  </si>
  <si>
    <t>Baja California Sur</t>
  </si>
  <si>
    <t>Campeche</t>
  </si>
  <si>
    <t>Coahuila de Zaragoza</t>
  </si>
  <si>
    <t>Colima</t>
  </si>
  <si>
    <t>Chiapas</t>
  </si>
  <si>
    <t>Chihuahua</t>
  </si>
  <si>
    <t>Distrito Federal</t>
  </si>
  <si>
    <t>Durango</t>
  </si>
  <si>
    <t>Guanajuato</t>
  </si>
  <si>
    <t>Guerrero</t>
  </si>
  <si>
    <t>Hidalgo</t>
  </si>
  <si>
    <t>Jalisco</t>
  </si>
  <si>
    <t>México</t>
  </si>
  <si>
    <t>Michoacán de Ocampo</t>
  </si>
  <si>
    <t>Morelos</t>
  </si>
  <si>
    <t>Nayarit</t>
  </si>
  <si>
    <t>Nuevo León</t>
  </si>
  <si>
    <t>Oaxaca</t>
  </si>
  <si>
    <t>Puebla</t>
  </si>
  <si>
    <t>Querétaro</t>
  </si>
  <si>
    <t>Quintana Roo</t>
  </si>
  <si>
    <t>San Luis Potosí</t>
  </si>
  <si>
    <t>Sinaloa</t>
  </si>
  <si>
    <t>Sonora</t>
  </si>
  <si>
    <t>Tabasco</t>
  </si>
  <si>
    <t>Tamaulipas</t>
  </si>
  <si>
    <t>Tlaxcala</t>
  </si>
  <si>
    <t>Veracruz de Ignacio de la Llav</t>
  </si>
  <si>
    <t>Yucatán</t>
  </si>
  <si>
    <t>Zacatecas</t>
  </si>
  <si>
    <t>(NO-STATE-GEO)</t>
  </si>
  <si>
    <t>( N/ST )</t>
  </si>
  <si>
    <t>BCali</t>
  </si>
  <si>
    <t>BCSur</t>
  </si>
  <si>
    <t>SLuis</t>
  </si>
  <si>
    <t>Aguas</t>
  </si>
  <si>
    <t>Campe</t>
  </si>
  <si>
    <t>Coahu</t>
  </si>
  <si>
    <t>Colim</t>
  </si>
  <si>
    <t>Chiap</t>
  </si>
  <si>
    <t>Chihu</t>
  </si>
  <si>
    <t>Distr</t>
  </si>
  <si>
    <t>Duran</t>
  </si>
  <si>
    <t>Guana</t>
  </si>
  <si>
    <t>Guerr</t>
  </si>
  <si>
    <t>Hidal</t>
  </si>
  <si>
    <t>Jalis</t>
  </si>
  <si>
    <t>Méxic</t>
  </si>
  <si>
    <t>Micho</t>
  </si>
  <si>
    <t>Morel</t>
  </si>
  <si>
    <t>Nayar</t>
  </si>
  <si>
    <t>Nuevo</t>
  </si>
  <si>
    <t>Oaxac</t>
  </si>
  <si>
    <t>Puebl</t>
  </si>
  <si>
    <t>Queré</t>
  </si>
  <si>
    <t>Quint</t>
  </si>
  <si>
    <t>Sinal</t>
  </si>
  <si>
    <t>Sonor</t>
  </si>
  <si>
    <t>Tabas</t>
  </si>
  <si>
    <t>Tamau</t>
  </si>
  <si>
    <t>Tlaxc</t>
  </si>
  <si>
    <t>Verac</t>
  </si>
  <si>
    <t>Yucat</t>
  </si>
  <si>
    <t>Zacat</t>
  </si>
  <si>
    <t>[K_COUNTRY]</t>
  </si>
  <si>
    <t>[K_STATE_GEO]</t>
  </si>
  <si>
    <t>[D_STATE_GEO]</t>
  </si>
  <si>
    <t>[S_STATE_GEO]</t>
  </si>
  <si>
    <t>[O_STATE_GEO]</t>
  </si>
  <si>
    <t>[C_STATE_GEO]</t>
  </si>
  <si>
    <t>[L_STATE_GEO]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</si>
</sst>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4" formatCode="_-&quot;$&quot;* #,##0.00_-;\-&quot;$&quot;* #,##0.00_-;_-&quot;$&quot;* &quot;-&quot;??_-;_-@_-"/>
    <numFmt numFmtId="43" formatCode="_-* #,##0.00_-;\-* #,##0.00_-;_-* &quot;-&quot;??_-;_-@_-"/>
    <numFmt numFmtId="164" formatCode="000"/>
  </numFmts>
  <fonts count="13" x14ac:knownFonts="1"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i/>
      <sz val="9"/>
      <color rgb="FFC00000"/>
      <name val="Calibri"/>
      <family val="2"/>
      <scheme val="minor"/>
    </font>
    <font>
      <sz val="9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9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b/>
      <i/>
      <sz val="9"/>
      <color rgb="FF00B050"/>
      <name val="Calibri"/>
      <family val="2"/>
      <scheme val="minor"/>
    </font>
    <font>
      <b/>
      <i/>
      <sz val="11"/>
      <color rgb="FFC00000"/>
      <name val="Calibri"/>
      <family val="2"/>
      <scheme val="minor"/>
    </font>
    <font>
      <b/>
      <sz val="9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8">
    <xf numFmtId="0" fontId="0" fillId="0" borderId="0"/>
    <xf numFmtId="0" fontId="7" fillId="0" borderId="0"/>
    <xf numFmtId="43" fontId="8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4" fontId="7" fillId="0" borderId="0" applyFont="0" applyFill="0" applyBorder="0" applyAlignment="0" applyProtection="0"/>
    <xf numFmtId="0" fontId="8" fillId="0" borderId="0"/>
  </cellStyleXfs>
  <cellXfs count="37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Fill="1" applyAlignment="1">
      <alignment horizontal="left" vertical="center"/>
    </xf>
    <xf numFmtId="0" fontId="0" fillId="0" borderId="0" xfId="0" applyAlignment="1">
      <alignment horizontal="center"/>
    </xf>
    <xf numFmtId="0" fontId="5" fillId="0" borderId="0" xfId="0" applyFont="1" applyAlignment="1">
      <alignment horizontal="center"/>
    </xf>
    <xf numFmtId="0" fontId="0" fillId="2" borderId="0" xfId="0" applyFill="1"/>
    <xf numFmtId="0" fontId="6" fillId="0" borderId="0" xfId="0" applyFont="1" applyAlignment="1">
      <alignment vertical="center"/>
    </xf>
    <xf numFmtId="0" fontId="1" fillId="0" borderId="0" xfId="0" quotePrefix="1" applyFont="1" applyAlignment="1">
      <alignment vertical="center"/>
    </xf>
    <xf numFmtId="0" fontId="4" fillId="0" borderId="0" xfId="0" quotePrefix="1" applyFont="1" applyAlignment="1">
      <alignment horizontal="left" vertical="center"/>
    </xf>
    <xf numFmtId="0" fontId="0" fillId="0" borderId="0" xfId="0" applyAlignment="1">
      <alignment horizontal="left"/>
    </xf>
    <xf numFmtId="0" fontId="1" fillId="0" borderId="0" xfId="0" applyFont="1" applyFill="1" applyAlignment="1">
      <alignment vertical="center"/>
    </xf>
    <xf numFmtId="0" fontId="3" fillId="0" borderId="0" xfId="0" applyFont="1" applyFill="1" applyAlignment="1">
      <alignment vertical="center"/>
    </xf>
    <xf numFmtId="0" fontId="0" fillId="0" borderId="0" xfId="0" applyFill="1"/>
    <xf numFmtId="0" fontId="9" fillId="0" borderId="0" xfId="0" applyFont="1" applyAlignment="1">
      <alignment horizontal="center"/>
    </xf>
    <xf numFmtId="0" fontId="2" fillId="0" borderId="0" xfId="0" quotePrefix="1" applyFont="1" applyAlignment="1">
      <alignment horizontal="center" vertical="center"/>
    </xf>
    <xf numFmtId="0" fontId="11" fillId="0" borderId="0" xfId="0" applyFont="1" applyAlignment="1">
      <alignment horizontal="center"/>
    </xf>
    <xf numFmtId="0" fontId="0" fillId="2" borderId="0" xfId="0" applyFill="1" applyAlignment="1">
      <alignment horizontal="left"/>
    </xf>
    <xf numFmtId="0" fontId="12" fillId="0" borderId="0" xfId="0" applyFont="1" applyAlignment="1">
      <alignment horizontal="center" vertical="center"/>
    </xf>
    <xf numFmtId="0" fontId="12" fillId="0" borderId="0" xfId="0" applyFont="1" applyAlignment="1">
      <alignment vertical="center"/>
    </xf>
    <xf numFmtId="0" fontId="1" fillId="0" borderId="0" xfId="0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4" fillId="0" borderId="0" xfId="0" quotePrefix="1" applyFont="1" applyFill="1" applyAlignment="1">
      <alignment horizontal="left" vertical="center"/>
    </xf>
    <xf numFmtId="0" fontId="4" fillId="0" borderId="0" xfId="0" quotePrefix="1" applyFont="1" applyFill="1" applyAlignment="1">
      <alignment horizontal="center" vertical="center"/>
    </xf>
    <xf numFmtId="0" fontId="10" fillId="0" borderId="0" xfId="0" applyFont="1" applyFill="1" applyAlignment="1">
      <alignment horizontal="left" vertical="center"/>
    </xf>
    <xf numFmtId="0" fontId="3" fillId="0" borderId="0" xfId="0" quotePrefix="1" applyFont="1" applyAlignment="1">
      <alignment horizontal="left" vertical="center"/>
    </xf>
    <xf numFmtId="0" fontId="3" fillId="0" borderId="0" xfId="0" quotePrefix="1" applyFont="1" applyFill="1" applyAlignment="1">
      <alignment horizontal="center" vertical="center"/>
    </xf>
    <xf numFmtId="0" fontId="0" fillId="0" borderId="0" xfId="0" applyFont="1" applyAlignment="1">
      <alignment horizontal="left"/>
    </xf>
    <xf numFmtId="164" fontId="2" fillId="0" borderId="0" xfId="0" applyNumberFormat="1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11" fillId="0" borderId="0" xfId="0" applyFont="1" applyAlignment="1">
      <alignment horizontal="center" vertical="center"/>
    </xf>
    <xf numFmtId="0" fontId="2" fillId="0" borderId="0" xfId="0" quotePrefix="1" applyFont="1" applyAlignment="1">
      <alignment horizontal="left" vertical="center"/>
    </xf>
    <xf numFmtId="0" fontId="3" fillId="0" borderId="0" xfId="0" quotePrefix="1" applyFont="1" applyFill="1" applyAlignment="1">
      <alignment horizontal="left" vertical="center"/>
    </xf>
    <xf numFmtId="0" fontId="11" fillId="0" borderId="0" xfId="0" applyFont="1" applyAlignment="1">
      <alignment horizontal="left" vertical="center"/>
    </xf>
    <xf numFmtId="164" fontId="2" fillId="0" borderId="0" xfId="0" applyNumberFormat="1" applyFont="1" applyAlignment="1">
      <alignment horizontal="center" vertical="center"/>
    </xf>
    <xf numFmtId="0" fontId="2" fillId="0" borderId="0" xfId="0" applyFont="1" applyFill="1" applyAlignment="1">
      <alignment horizontal="center" vertical="center"/>
    </xf>
  </cellXfs>
  <cellStyles count="8">
    <cellStyle name="Comma 2" xfId="2"/>
    <cellStyle name="Millares 2" xfId="3"/>
    <cellStyle name="Millares 3" xfId="4"/>
    <cellStyle name="Millares 4" xfId="5"/>
    <cellStyle name="Moneda 2" xfId="6"/>
    <cellStyle name="Normal" xfId="0" builtinId="0"/>
    <cellStyle name="Normal 2" xfId="7"/>
    <cellStyle name="Normal 3" xfId="1"/>
  </cellStyles>
  <dxfs count="36">
    <dxf>
      <font>
        <b/>
        <i/>
        <strike val="0"/>
        <color rgb="FFC00000"/>
      </font>
    </dxf>
    <dxf>
      <font>
        <b/>
        <i/>
        <strike val="0"/>
        <color rgb="FFC00000"/>
      </font>
    </dxf>
    <dxf>
      <font>
        <b/>
        <i/>
        <strike val="0"/>
        <color rgb="FFC00000"/>
      </font>
    </dxf>
    <dxf>
      <font>
        <color rgb="FF9C0006"/>
      </font>
      <fill>
        <patternFill>
          <bgColor rgb="FFFFC7CE"/>
        </patternFill>
      </fill>
    </dxf>
    <dxf>
      <font>
        <b/>
        <i/>
        <strike val="0"/>
        <color rgb="FFC00000"/>
      </font>
    </dxf>
    <dxf>
      <font>
        <b/>
        <i/>
        <strike val="0"/>
        <color rgb="FFC00000"/>
      </font>
    </dxf>
    <dxf>
      <font>
        <b/>
        <i/>
        <strike val="0"/>
        <color rgb="FFC00000"/>
      </font>
    </dxf>
    <dxf>
      <font>
        <b/>
        <i/>
        <strike val="0"/>
        <color rgb="FFC00000"/>
      </font>
    </dxf>
    <dxf>
      <font>
        <b/>
        <i/>
        <strike val="0"/>
        <color rgb="FFC00000"/>
      </font>
    </dxf>
    <dxf>
      <font>
        <b/>
        <i/>
        <strike val="0"/>
        <color rgb="FFC00000"/>
      </font>
    </dxf>
    <dxf>
      <font>
        <b/>
        <i/>
        <strike val="0"/>
        <color rgb="FFC00000"/>
      </font>
    </dxf>
    <dxf>
      <font>
        <b/>
        <i/>
        <strike val="0"/>
        <color rgb="FFC00000"/>
      </font>
    </dxf>
    <dxf>
      <font>
        <b/>
        <i/>
        <strike val="0"/>
        <color rgb="FFC00000"/>
      </font>
    </dxf>
    <dxf>
      <font>
        <b/>
        <i/>
        <strike val="0"/>
        <color rgb="FFC00000"/>
      </font>
    </dxf>
    <dxf>
      <font>
        <b/>
        <i/>
        <strike val="0"/>
        <color rgb="FFC00000"/>
      </font>
    </dxf>
    <dxf>
      <font>
        <b/>
        <i/>
        <strike val="0"/>
        <color rgb="FFC00000"/>
      </font>
    </dxf>
    <dxf>
      <font>
        <b/>
        <i/>
        <strike val="0"/>
        <color rgb="FFC00000"/>
      </font>
    </dxf>
    <dxf>
      <font>
        <b/>
        <i/>
        <strike val="0"/>
        <color rgb="FFC00000"/>
      </font>
    </dxf>
    <dxf>
      <font>
        <b/>
        <i/>
        <strike val="0"/>
        <color rgb="FFC00000"/>
      </font>
    </dxf>
    <dxf>
      <font>
        <b/>
        <i/>
        <strike val="0"/>
        <color rgb="FFC00000"/>
      </font>
    </dxf>
    <dxf>
      <font>
        <b/>
        <i/>
        <strike val="0"/>
        <color rgb="FFC0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/>
        <strike val="0"/>
        <color rgb="FFC0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/>
        <strike val="0"/>
        <color rgb="FFC00000"/>
      </font>
    </dxf>
    <dxf>
      <font>
        <b/>
        <i/>
        <strike val="0"/>
        <color rgb="FFC00000"/>
      </font>
    </dxf>
    <dxf>
      <font>
        <color rgb="FF9C0006"/>
      </font>
      <fill>
        <patternFill>
          <bgColor rgb="FFFFC7CE"/>
        </patternFill>
      </fill>
    </dxf>
    <dxf>
      <font>
        <b/>
        <i/>
        <strike val="0"/>
        <color rgb="FFC00000"/>
      </font>
    </dxf>
    <dxf>
      <font>
        <b/>
        <i/>
        <strike val="0"/>
        <color rgb="FFC00000"/>
      </font>
    </dxf>
    <dxf>
      <font>
        <b/>
        <i/>
        <strike val="0"/>
        <color rgb="FFC00000"/>
      </font>
    </dxf>
    <dxf>
      <font>
        <b/>
        <i/>
        <strike val="0"/>
        <color rgb="FFC0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"/>
  <dimension ref="A1:H28"/>
  <sheetViews>
    <sheetView workbookViewId="0">
      <selection activeCell="B18" sqref="B18:H18"/>
    </sheetView>
  </sheetViews>
  <sheetFormatPr defaultColWidth="11.42578125" defaultRowHeight="15" x14ac:dyDescent="0.25"/>
  <cols>
    <col min="1" max="1" width="20.85546875" style="3" customWidth="1"/>
    <col min="2" max="2" width="37.5703125" bestFit="1" customWidth="1"/>
    <col min="3" max="3" width="25.85546875" style="29" bestFit="1" customWidth="1"/>
  </cols>
  <sheetData>
    <row r="1" spans="1:4" x14ac:dyDescent="0.25">
      <c r="A1" s="16" t="str">
        <f>(CONCATENATE("PG_CI_",(MID(B4,4,LEN(B4)-4))))</f>
        <v>PG_CI_STATE_GEO</v>
      </c>
      <c r="B1" s="5"/>
      <c r="C1" s="28"/>
      <c r="D1" s="5"/>
    </row>
    <row r="3" spans="1:4" x14ac:dyDescent="0.25">
      <c r="A3" s="4" t="s">
        <v>5</v>
      </c>
      <c r="B3" t="s">
        <v>11</v>
      </c>
      <c r="C3" s="30" t="s">
        <v>4</v>
      </c>
    </row>
    <row r="4" spans="1:4" x14ac:dyDescent="0.25">
      <c r="A4" s="3" t="s">
        <v>3</v>
      </c>
      <c r="B4" t="s">
        <v>82</v>
      </c>
      <c r="C4" s="29" t="s">
        <v>10</v>
      </c>
    </row>
    <row r="5" spans="1:4" x14ac:dyDescent="0.25">
      <c r="B5" t="s">
        <v>83</v>
      </c>
      <c r="C5" s="29" t="s">
        <v>12</v>
      </c>
    </row>
    <row r="6" spans="1:4" x14ac:dyDescent="0.25">
      <c r="B6" t="s">
        <v>84</v>
      </c>
      <c r="C6" s="29" t="s">
        <v>13</v>
      </c>
    </row>
    <row r="7" spans="1:4" x14ac:dyDescent="0.25">
      <c r="B7" t="s">
        <v>85</v>
      </c>
      <c r="C7" s="29" t="s">
        <v>10</v>
      </c>
    </row>
    <row r="8" spans="1:4" x14ac:dyDescent="0.25">
      <c r="B8" t="s">
        <v>86</v>
      </c>
      <c r="C8" s="29" t="s">
        <v>14</v>
      </c>
    </row>
    <row r="9" spans="1:4" x14ac:dyDescent="0.25">
      <c r="B9" t="s">
        <v>87</v>
      </c>
      <c r="C9" s="29" t="s">
        <v>10</v>
      </c>
    </row>
    <row r="10" spans="1:4" x14ac:dyDescent="0.25">
      <c r="B10" t="s">
        <v>81</v>
      </c>
      <c r="C10" s="3" t="s">
        <v>10</v>
      </c>
    </row>
    <row r="13" spans="1:4" x14ac:dyDescent="0.25">
      <c r="C13"/>
    </row>
    <row r="18" spans="2:8" x14ac:dyDescent="0.25">
      <c r="B18" t="s">
        <v>82</v>
      </c>
      <c r="C18" t="s">
        <v>83</v>
      </c>
      <c r="D18" t="s">
        <v>84</v>
      </c>
      <c r="E18" t="s">
        <v>85</v>
      </c>
      <c r="F18" t="s">
        <v>86</v>
      </c>
      <c r="G18" t="s">
        <v>87</v>
      </c>
      <c r="H18" t="s">
        <v>81</v>
      </c>
    </row>
    <row r="28" spans="2:8" x14ac:dyDescent="0.25">
      <c r="C28"/>
    </row>
  </sheetData>
  <pageMargins left="0.7" right="0.7" top="0.75" bottom="0.75" header="0.3" footer="0.3"/>
  <pageSetup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"/>
  <dimension ref="A1:P173"/>
  <sheetViews>
    <sheetView tabSelected="1" zoomScale="130" zoomScaleNormal="130" workbookViewId="0">
      <selection activeCell="E1" sqref="E1:K1"/>
    </sheetView>
  </sheetViews>
  <sheetFormatPr defaultColWidth="11.42578125" defaultRowHeight="15" x14ac:dyDescent="0.25"/>
  <cols>
    <col min="1" max="1" width="3.28515625" style="13" customWidth="1"/>
    <col min="2" max="4" width="4.140625" customWidth="1"/>
    <col min="5" max="5" width="17.5703125" style="15" bestFit="1" customWidth="1"/>
    <col min="6" max="6" width="43.28515625" style="9" bestFit="1" customWidth="1"/>
    <col min="7" max="7" width="28.140625" style="9" customWidth="1"/>
    <col min="8" max="8" width="16.28515625" style="26" customWidth="1"/>
    <col min="9" max="9" width="38.42578125" style="34" customWidth="1"/>
    <col min="10" max="10" width="24.42578125" style="15" customWidth="1"/>
    <col min="11" max="11" width="24.42578125" style="31" customWidth="1"/>
    <col min="12" max="12" width="8.42578125" customWidth="1"/>
    <col min="13" max="13" width="25.28515625" customWidth="1"/>
    <col min="14" max="14" width="17.42578125" style="12" customWidth="1"/>
  </cols>
  <sheetData>
    <row r="1" spans="1:16" s="18" customFormat="1" x14ac:dyDescent="0.25">
      <c r="A1" s="17" t="s">
        <v>8</v>
      </c>
      <c r="B1" s="18" t="s">
        <v>0</v>
      </c>
      <c r="C1" s="18" t="s">
        <v>1</v>
      </c>
      <c r="D1" s="18" t="s">
        <v>2</v>
      </c>
      <c r="E1" t="s">
        <v>82</v>
      </c>
      <c r="F1" t="s">
        <v>83</v>
      </c>
      <c r="G1" t="s">
        <v>84</v>
      </c>
      <c r="H1" t="s">
        <v>85</v>
      </c>
      <c r="I1" t="s">
        <v>86</v>
      </c>
      <c r="J1" t="s">
        <v>87</v>
      </c>
      <c r="K1" t="s">
        <v>81</v>
      </c>
      <c r="M1" s="18" t="s">
        <v>9</v>
      </c>
      <c r="N1" s="18" t="str">
        <f>TABLE!A1</f>
        <v>PG_CI_STATE_GEO</v>
      </c>
      <c r="O1" s="18" t="s">
        <v>6</v>
      </c>
      <c r="P1" s="18" t="str">
        <f>CONCATENATE($M$1,$N$1,$O$1,B3, ", ", C3, ", ", D3, ", ", )</f>
        <v xml:space="preserve">EXECUTE [dbo].[PG_CI_STATE_GEO] 0, 10, 139, </v>
      </c>
    </row>
    <row r="2" spans="1:16" s="10" customFormat="1" x14ac:dyDescent="0.25">
      <c r="A2" s="3"/>
      <c r="B2" s="7" t="s">
        <v>7</v>
      </c>
      <c r="C2" s="7" t="s">
        <v>7</v>
      </c>
      <c r="D2" s="7" t="s">
        <v>7</v>
      </c>
      <c r="E2" s="14" t="s">
        <v>7</v>
      </c>
      <c r="F2" s="8" t="s">
        <v>7</v>
      </c>
      <c r="G2" s="8" t="s">
        <v>7</v>
      </c>
      <c r="H2" s="24" t="s">
        <v>7</v>
      </c>
      <c r="I2" s="32" t="s">
        <v>7</v>
      </c>
      <c r="J2" s="14" t="s">
        <v>7</v>
      </c>
      <c r="K2" s="14" t="s">
        <v>7</v>
      </c>
      <c r="L2" s="1"/>
      <c r="M2" s="2" t="str">
        <f>"-- =========================================================="</f>
        <v>-- ==========================================================</v>
      </c>
      <c r="O2" s="6"/>
      <c r="P2" s="1"/>
    </row>
    <row r="3" spans="1:16" s="10" customFormat="1" x14ac:dyDescent="0.25">
      <c r="A3" s="19"/>
      <c r="B3" s="20">
        <v>0</v>
      </c>
      <c r="C3" s="20">
        <v>10</v>
      </c>
      <c r="D3" s="20">
        <v>139</v>
      </c>
      <c r="E3" s="27">
        <v>0</v>
      </c>
      <c r="F3" s="21" t="s">
        <v>47</v>
      </c>
      <c r="G3" s="22" t="s">
        <v>48</v>
      </c>
      <c r="H3" s="25">
        <v>1</v>
      </c>
      <c r="I3" s="33" t="str">
        <f t="shared" ref="I3:I35" si="0">CONCATENATE("#",E3," // ",F3)</f>
        <v>#0 // (NO-STATE-GEO)</v>
      </c>
      <c r="J3" s="25">
        <v>1</v>
      </c>
      <c r="K3" s="31">
        <v>0</v>
      </c>
      <c r="M3" s="23" t="str">
        <f>CONCATENATE(CI_!$P$1,E3,", '",F3,"', '",G3,"' , ",H3," , '",I3,"' , ",J3,",",K3)</f>
        <v>EXECUTE [dbo].[PG_CI_STATE_GEO] 0, 10, 139, 0, '(NO-STATE-GEO)', '( N/ST )' , 1 , '#0 // (NO-STATE-GEO)' , 1,0</v>
      </c>
      <c r="N3" s="11"/>
    </row>
    <row r="4" spans="1:16" s="10" customFormat="1" ht="12" x14ac:dyDescent="0.25">
      <c r="A4" s="19"/>
      <c r="B4" s="20">
        <v>0</v>
      </c>
      <c r="C4" s="20">
        <v>10</v>
      </c>
      <c r="D4" s="20">
        <v>139</v>
      </c>
      <c r="E4" s="35">
        <v>1</v>
      </c>
      <c r="F4" s="21" t="s">
        <v>15</v>
      </c>
      <c r="G4" s="22" t="s">
        <v>52</v>
      </c>
      <c r="H4" s="25">
        <v>1</v>
      </c>
      <c r="I4" s="33" t="str">
        <f t="shared" si="0"/>
        <v>#1 // Aguascalientes</v>
      </c>
      <c r="J4" s="25">
        <v>1</v>
      </c>
      <c r="K4" s="36">
        <v>260</v>
      </c>
      <c r="M4" s="23" t="str">
        <f>CONCATENATE(CI_!$P$1,E4,", '",F4,"', '",G4,"' , ",H4," , '",I4,"' , ",J4,",",K4)</f>
        <v>EXECUTE [dbo].[PG_CI_STATE_GEO] 0, 10, 139, 1, 'Aguascalientes', 'Aguas' , 1 , '#1 // Aguascalientes' , 1,260</v>
      </c>
      <c r="N4" s="11"/>
    </row>
    <row r="5" spans="1:16" s="10" customFormat="1" ht="12" x14ac:dyDescent="0.25">
      <c r="A5" s="19"/>
      <c r="B5" s="20">
        <v>0</v>
      </c>
      <c r="C5" s="20">
        <v>10</v>
      </c>
      <c r="D5" s="20">
        <v>139</v>
      </c>
      <c r="E5" s="35">
        <v>2</v>
      </c>
      <c r="F5" s="21" t="s">
        <v>16</v>
      </c>
      <c r="G5" s="22" t="s">
        <v>49</v>
      </c>
      <c r="H5" s="25">
        <v>1</v>
      </c>
      <c r="I5" s="33" t="str">
        <f t="shared" si="0"/>
        <v>#2 // Baja California</v>
      </c>
      <c r="J5" s="25">
        <v>1</v>
      </c>
      <c r="K5" s="36">
        <v>260</v>
      </c>
      <c r="M5" s="23" t="str">
        <f>CONCATENATE(CI_!$P$1,E5,", '",F5,"', '",G5,"' , ",H5," , '",I5,"' , ",J5,",",K5)</f>
        <v>EXECUTE [dbo].[PG_CI_STATE_GEO] 0, 10, 139, 2, 'Baja California', 'BCali' , 1 , '#2 // Baja California' , 1,260</v>
      </c>
      <c r="N5" s="11"/>
    </row>
    <row r="6" spans="1:16" s="10" customFormat="1" ht="12" x14ac:dyDescent="0.25">
      <c r="A6" s="19"/>
      <c r="B6" s="20">
        <v>0</v>
      </c>
      <c r="C6" s="20">
        <v>10</v>
      </c>
      <c r="D6" s="20">
        <v>139</v>
      </c>
      <c r="E6" s="35">
        <v>3</v>
      </c>
      <c r="F6" s="21" t="s">
        <v>17</v>
      </c>
      <c r="G6" s="22" t="s">
        <v>50</v>
      </c>
      <c r="H6" s="25">
        <v>1</v>
      </c>
      <c r="I6" s="33" t="str">
        <f t="shared" si="0"/>
        <v>#3 // Baja California Sur</v>
      </c>
      <c r="J6" s="25">
        <v>1</v>
      </c>
      <c r="K6" s="36">
        <v>260</v>
      </c>
      <c r="M6" s="23" t="str">
        <f>CONCATENATE(CI_!$P$1,E6,", '",F6,"', '",G6,"' , ",H6," , '",I6,"' , ",J6,",",K6)</f>
        <v>EXECUTE [dbo].[PG_CI_STATE_GEO] 0, 10, 139, 3, 'Baja California Sur', 'BCSur' , 1 , '#3 // Baja California Sur' , 1,260</v>
      </c>
      <c r="N6" s="11"/>
    </row>
    <row r="7" spans="1:16" s="10" customFormat="1" ht="12" x14ac:dyDescent="0.25">
      <c r="A7" s="19"/>
      <c r="B7" s="20">
        <v>0</v>
      </c>
      <c r="C7" s="20">
        <v>10</v>
      </c>
      <c r="D7" s="20">
        <v>139</v>
      </c>
      <c r="E7" s="35">
        <v>4</v>
      </c>
      <c r="F7" s="21" t="s">
        <v>18</v>
      </c>
      <c r="G7" s="22" t="s">
        <v>53</v>
      </c>
      <c r="H7" s="25">
        <v>1</v>
      </c>
      <c r="I7" s="33" t="str">
        <f t="shared" si="0"/>
        <v>#4 // Campeche</v>
      </c>
      <c r="J7" s="25">
        <v>1</v>
      </c>
      <c r="K7" s="36">
        <v>260</v>
      </c>
      <c r="M7" s="23" t="str">
        <f>CONCATENATE(CI_!$P$1,E7,", '",F7,"', '",G7,"' , ",H7," , '",I7,"' , ",J7,",",K7)</f>
        <v>EXECUTE [dbo].[PG_CI_STATE_GEO] 0, 10, 139, 4, 'Campeche', 'Campe' , 1 , '#4 // Campeche' , 1,260</v>
      </c>
      <c r="N7" s="11"/>
    </row>
    <row r="8" spans="1:16" s="10" customFormat="1" ht="12" x14ac:dyDescent="0.25">
      <c r="A8" s="19"/>
      <c r="B8" s="20">
        <v>0</v>
      </c>
      <c r="C8" s="20">
        <v>10</v>
      </c>
      <c r="D8" s="20">
        <v>139</v>
      </c>
      <c r="E8" s="35">
        <v>5</v>
      </c>
      <c r="F8" s="21" t="s">
        <v>19</v>
      </c>
      <c r="G8" s="22" t="s">
        <v>54</v>
      </c>
      <c r="H8" s="25">
        <v>1</v>
      </c>
      <c r="I8" s="33" t="str">
        <f t="shared" si="0"/>
        <v>#5 // Coahuila de Zaragoza</v>
      </c>
      <c r="J8" s="25">
        <v>1</v>
      </c>
      <c r="K8" s="36">
        <v>260</v>
      </c>
      <c r="M8" s="23" t="str">
        <f>CONCATENATE(CI_!$P$1,E8,", '",F8,"', '",G8,"' , ",H8," , '",I8,"' , ",J8,",",K8)</f>
        <v>EXECUTE [dbo].[PG_CI_STATE_GEO] 0, 10, 139, 5, 'Coahuila de Zaragoza', 'Coahu' , 1 , '#5 // Coahuila de Zaragoza' , 1,260</v>
      </c>
      <c r="N8" s="11"/>
    </row>
    <row r="9" spans="1:16" s="10" customFormat="1" ht="12" x14ac:dyDescent="0.25">
      <c r="A9" s="19"/>
      <c r="B9" s="20">
        <v>0</v>
      </c>
      <c r="C9" s="20">
        <v>10</v>
      </c>
      <c r="D9" s="20">
        <v>139</v>
      </c>
      <c r="E9" s="35">
        <v>6</v>
      </c>
      <c r="F9" s="21" t="s">
        <v>20</v>
      </c>
      <c r="G9" s="22" t="s">
        <v>55</v>
      </c>
      <c r="H9" s="25">
        <v>1</v>
      </c>
      <c r="I9" s="33" t="str">
        <f t="shared" si="0"/>
        <v>#6 // Colima</v>
      </c>
      <c r="J9" s="25">
        <v>1</v>
      </c>
      <c r="K9" s="36">
        <v>260</v>
      </c>
      <c r="M9" s="23" t="str">
        <f>CONCATENATE(CI_!$P$1,E9,", '",F9,"', '",G9,"' , ",H9," , '",I9,"' , ",J9,",",K9)</f>
        <v>EXECUTE [dbo].[PG_CI_STATE_GEO] 0, 10, 139, 6, 'Colima', 'Colim' , 1 , '#6 // Colima' , 1,260</v>
      </c>
      <c r="N9" s="11"/>
    </row>
    <row r="10" spans="1:16" s="10" customFormat="1" ht="12" x14ac:dyDescent="0.25">
      <c r="A10" s="19"/>
      <c r="B10" s="20">
        <v>0</v>
      </c>
      <c r="C10" s="20">
        <v>10</v>
      </c>
      <c r="D10" s="20">
        <v>139</v>
      </c>
      <c r="E10" s="35">
        <v>7</v>
      </c>
      <c r="F10" s="21" t="s">
        <v>21</v>
      </c>
      <c r="G10" s="22" t="s">
        <v>56</v>
      </c>
      <c r="H10" s="25">
        <v>1</v>
      </c>
      <c r="I10" s="33" t="str">
        <f t="shared" si="0"/>
        <v>#7 // Chiapas</v>
      </c>
      <c r="J10" s="25">
        <v>1</v>
      </c>
      <c r="K10" s="36">
        <v>260</v>
      </c>
      <c r="M10" s="23" t="str">
        <f>CONCATENATE(CI_!$P$1,E10,", '",F10,"', '",G10,"' , ",H10," , '",I10,"' , ",J10,",",K10)</f>
        <v>EXECUTE [dbo].[PG_CI_STATE_GEO] 0, 10, 139, 7, 'Chiapas', 'Chiap' , 1 , '#7 // Chiapas' , 1,260</v>
      </c>
      <c r="N10" s="11"/>
    </row>
    <row r="11" spans="1:16" s="10" customFormat="1" ht="12" x14ac:dyDescent="0.25">
      <c r="A11" s="19"/>
      <c r="B11" s="20">
        <v>0</v>
      </c>
      <c r="C11" s="20">
        <v>10</v>
      </c>
      <c r="D11" s="20">
        <v>139</v>
      </c>
      <c r="E11" s="35">
        <v>8</v>
      </c>
      <c r="F11" s="21" t="s">
        <v>22</v>
      </c>
      <c r="G11" s="22" t="s">
        <v>57</v>
      </c>
      <c r="H11" s="25">
        <v>1</v>
      </c>
      <c r="I11" s="33" t="str">
        <f t="shared" si="0"/>
        <v>#8 // Chihuahua</v>
      </c>
      <c r="J11" s="25">
        <v>1</v>
      </c>
      <c r="K11" s="36">
        <v>260</v>
      </c>
      <c r="M11" s="23" t="str">
        <f>CONCATENATE(CI_!$P$1,E11,", '",F11,"', '",G11,"' , ",H11," , '",I11,"' , ",J11,",",K11)</f>
        <v>EXECUTE [dbo].[PG_CI_STATE_GEO] 0, 10, 139, 8, 'Chihuahua', 'Chihu' , 1 , '#8 // Chihuahua' , 1,260</v>
      </c>
      <c r="N11" s="11"/>
    </row>
    <row r="12" spans="1:16" s="10" customFormat="1" ht="12" x14ac:dyDescent="0.25">
      <c r="A12" s="19"/>
      <c r="B12" s="20">
        <v>0</v>
      </c>
      <c r="C12" s="20">
        <v>10</v>
      </c>
      <c r="D12" s="20">
        <v>139</v>
      </c>
      <c r="E12" s="35">
        <v>9</v>
      </c>
      <c r="F12" s="21" t="s">
        <v>23</v>
      </c>
      <c r="G12" s="22" t="s">
        <v>58</v>
      </c>
      <c r="H12" s="25">
        <v>1</v>
      </c>
      <c r="I12" s="33" t="str">
        <f t="shared" si="0"/>
        <v>#9 // Distrito Federal</v>
      </c>
      <c r="J12" s="25">
        <v>1</v>
      </c>
      <c r="K12" s="36">
        <v>260</v>
      </c>
      <c r="M12" s="23" t="str">
        <f>CONCATENATE(CI_!$P$1,E12,", '",F12,"', '",G12,"' , ",H12," , '",I12,"' , ",J12,",",K12)</f>
        <v>EXECUTE [dbo].[PG_CI_STATE_GEO] 0, 10, 139, 9, 'Distrito Federal', 'Distr' , 1 , '#9 // Distrito Federal' , 1,260</v>
      </c>
      <c r="N12" s="11"/>
    </row>
    <row r="13" spans="1:16" s="10" customFormat="1" ht="12" x14ac:dyDescent="0.25">
      <c r="A13" s="19"/>
      <c r="B13" s="20">
        <v>0</v>
      </c>
      <c r="C13" s="20">
        <v>10</v>
      </c>
      <c r="D13" s="20">
        <v>139</v>
      </c>
      <c r="E13" s="35">
        <v>10</v>
      </c>
      <c r="F13" s="21" t="s">
        <v>24</v>
      </c>
      <c r="G13" s="22" t="s">
        <v>59</v>
      </c>
      <c r="H13" s="25">
        <v>1</v>
      </c>
      <c r="I13" s="33" t="str">
        <f t="shared" si="0"/>
        <v>#10 // Durango</v>
      </c>
      <c r="J13" s="25">
        <v>1</v>
      </c>
      <c r="K13" s="36">
        <v>260</v>
      </c>
      <c r="M13" s="23" t="str">
        <f>CONCATENATE(CI_!$P$1,E13,", '",F13,"', '",G13,"' , ",H13," , '",I13,"' , ",J13,",",K13)</f>
        <v>EXECUTE [dbo].[PG_CI_STATE_GEO] 0, 10, 139, 10, 'Durango', 'Duran' , 1 , '#10 // Durango' , 1,260</v>
      </c>
      <c r="N13" s="11"/>
    </row>
    <row r="14" spans="1:16" s="10" customFormat="1" ht="12" x14ac:dyDescent="0.25">
      <c r="A14" s="19"/>
      <c r="B14" s="20">
        <v>0</v>
      </c>
      <c r="C14" s="20">
        <v>10</v>
      </c>
      <c r="D14" s="20">
        <v>139</v>
      </c>
      <c r="E14" s="35">
        <v>11</v>
      </c>
      <c r="F14" s="21" t="s">
        <v>25</v>
      </c>
      <c r="G14" s="22" t="s">
        <v>60</v>
      </c>
      <c r="H14" s="25">
        <v>1</v>
      </c>
      <c r="I14" s="33" t="str">
        <f t="shared" si="0"/>
        <v>#11 // Guanajuato</v>
      </c>
      <c r="J14" s="25">
        <v>1</v>
      </c>
      <c r="K14" s="36">
        <v>260</v>
      </c>
      <c r="M14" s="23" t="str">
        <f>CONCATENATE(CI_!$P$1,E14,", '",F14,"', '",G14,"' , ",H14," , '",I14,"' , ",J14,",",K14)</f>
        <v>EXECUTE [dbo].[PG_CI_STATE_GEO] 0, 10, 139, 11, 'Guanajuato', 'Guana' , 1 , '#11 // Guanajuato' , 1,260</v>
      </c>
      <c r="N14" s="11"/>
    </row>
    <row r="15" spans="1:16" s="10" customFormat="1" ht="12" x14ac:dyDescent="0.25">
      <c r="A15" s="19"/>
      <c r="B15" s="20">
        <v>0</v>
      </c>
      <c r="C15" s="20">
        <v>10</v>
      </c>
      <c r="D15" s="20">
        <v>139</v>
      </c>
      <c r="E15" s="35">
        <v>12</v>
      </c>
      <c r="F15" s="21" t="s">
        <v>26</v>
      </c>
      <c r="G15" s="22" t="s">
        <v>61</v>
      </c>
      <c r="H15" s="25">
        <v>1</v>
      </c>
      <c r="I15" s="33" t="str">
        <f t="shared" si="0"/>
        <v>#12 // Guerrero</v>
      </c>
      <c r="J15" s="25">
        <v>1</v>
      </c>
      <c r="K15" s="36">
        <v>260</v>
      </c>
      <c r="M15" s="23" t="str">
        <f>CONCATENATE(CI_!$P$1,E15,", '",F15,"', '",G15,"' , ",H15," , '",I15,"' , ",J15,",",K15)</f>
        <v>EXECUTE [dbo].[PG_CI_STATE_GEO] 0, 10, 139, 12, 'Guerrero', 'Guerr' , 1 , '#12 // Guerrero' , 1,260</v>
      </c>
      <c r="N15" s="11"/>
    </row>
    <row r="16" spans="1:16" s="10" customFormat="1" ht="12" x14ac:dyDescent="0.25">
      <c r="A16" s="19"/>
      <c r="B16" s="20">
        <v>0</v>
      </c>
      <c r="C16" s="20">
        <v>10</v>
      </c>
      <c r="D16" s="20">
        <v>139</v>
      </c>
      <c r="E16" s="35">
        <v>13</v>
      </c>
      <c r="F16" s="21" t="s">
        <v>27</v>
      </c>
      <c r="G16" s="22" t="s">
        <v>62</v>
      </c>
      <c r="H16" s="25">
        <v>1</v>
      </c>
      <c r="I16" s="33" t="str">
        <f t="shared" si="0"/>
        <v>#13 // Hidalgo</v>
      </c>
      <c r="J16" s="25">
        <v>1</v>
      </c>
      <c r="K16" s="36">
        <v>260</v>
      </c>
      <c r="M16" s="23" t="str">
        <f>CONCATENATE(CI_!$P$1,E16,", '",F16,"', '",G16,"' , ",H16," , '",I16,"' , ",J16,",",K16)</f>
        <v>EXECUTE [dbo].[PG_CI_STATE_GEO] 0, 10, 139, 13, 'Hidalgo', 'Hidal' , 1 , '#13 // Hidalgo' , 1,260</v>
      </c>
      <c r="N16" s="11"/>
    </row>
    <row r="17" spans="1:14" s="10" customFormat="1" ht="12" x14ac:dyDescent="0.25">
      <c r="A17" s="19"/>
      <c r="B17" s="20">
        <v>0</v>
      </c>
      <c r="C17" s="20">
        <v>10</v>
      </c>
      <c r="D17" s="20">
        <v>139</v>
      </c>
      <c r="E17" s="35">
        <v>14</v>
      </c>
      <c r="F17" s="21" t="s">
        <v>28</v>
      </c>
      <c r="G17" s="22" t="s">
        <v>63</v>
      </c>
      <c r="H17" s="25">
        <v>1</v>
      </c>
      <c r="I17" s="33" t="str">
        <f t="shared" si="0"/>
        <v>#14 // Jalisco</v>
      </c>
      <c r="J17" s="25">
        <v>1</v>
      </c>
      <c r="K17" s="36">
        <v>260</v>
      </c>
      <c r="M17" s="23" t="str">
        <f>CONCATENATE(CI_!$P$1,E17,", '",F17,"', '",G17,"' , ",H17," , '",I17,"' , ",J17,",",K17)</f>
        <v>EXECUTE [dbo].[PG_CI_STATE_GEO] 0, 10, 139, 14, 'Jalisco', 'Jalis' , 1 , '#14 // Jalisco' , 1,260</v>
      </c>
      <c r="N17" s="11"/>
    </row>
    <row r="18" spans="1:14" s="10" customFormat="1" ht="12" x14ac:dyDescent="0.25">
      <c r="A18" s="19"/>
      <c r="B18" s="20">
        <v>0</v>
      </c>
      <c r="C18" s="20">
        <v>10</v>
      </c>
      <c r="D18" s="20">
        <v>139</v>
      </c>
      <c r="E18" s="35">
        <v>15</v>
      </c>
      <c r="F18" s="21" t="s">
        <v>29</v>
      </c>
      <c r="G18" s="22" t="s">
        <v>64</v>
      </c>
      <c r="H18" s="25">
        <v>1</v>
      </c>
      <c r="I18" s="33" t="str">
        <f t="shared" si="0"/>
        <v>#15 // México</v>
      </c>
      <c r="J18" s="25">
        <v>1</v>
      </c>
      <c r="K18" s="36">
        <v>260</v>
      </c>
      <c r="M18" s="23" t="str">
        <f>CONCATENATE(CI_!$P$1,E18,", '",F18,"', '",G18,"' , ",H18," , '",I18,"' , ",J18,",",K18)</f>
        <v>EXECUTE [dbo].[PG_CI_STATE_GEO] 0, 10, 139, 15, 'México', 'Méxic' , 1 , '#15 // México' , 1,260</v>
      </c>
      <c r="N18" s="11"/>
    </row>
    <row r="19" spans="1:14" s="10" customFormat="1" ht="12" x14ac:dyDescent="0.25">
      <c r="A19" s="19"/>
      <c r="B19" s="20">
        <v>0</v>
      </c>
      <c r="C19" s="20">
        <v>10</v>
      </c>
      <c r="D19" s="20">
        <v>139</v>
      </c>
      <c r="E19" s="35">
        <v>16</v>
      </c>
      <c r="F19" s="21" t="s">
        <v>30</v>
      </c>
      <c r="G19" s="22" t="s">
        <v>65</v>
      </c>
      <c r="H19" s="25">
        <v>1</v>
      </c>
      <c r="I19" s="33" t="str">
        <f t="shared" si="0"/>
        <v>#16 // Michoacán de Ocampo</v>
      </c>
      <c r="J19" s="25">
        <v>1</v>
      </c>
      <c r="K19" s="36">
        <v>260</v>
      </c>
      <c r="M19" s="23" t="str">
        <f>CONCATENATE(CI_!$P$1,E19,", '",F19,"', '",G19,"' , ",H19," , '",I19,"' , ",J19,",",K19)</f>
        <v>EXECUTE [dbo].[PG_CI_STATE_GEO] 0, 10, 139, 16, 'Michoacán de Ocampo', 'Micho' , 1 , '#16 // Michoacán de Ocampo' , 1,260</v>
      </c>
      <c r="N19" s="11"/>
    </row>
    <row r="20" spans="1:14" s="10" customFormat="1" ht="12" x14ac:dyDescent="0.25">
      <c r="A20" s="19"/>
      <c r="B20" s="20">
        <v>0</v>
      </c>
      <c r="C20" s="20">
        <v>10</v>
      </c>
      <c r="D20" s="20">
        <v>139</v>
      </c>
      <c r="E20" s="35">
        <v>17</v>
      </c>
      <c r="F20" s="21" t="s">
        <v>31</v>
      </c>
      <c r="G20" s="22" t="s">
        <v>66</v>
      </c>
      <c r="H20" s="25">
        <v>1</v>
      </c>
      <c r="I20" s="33" t="str">
        <f t="shared" si="0"/>
        <v>#17 // Morelos</v>
      </c>
      <c r="J20" s="25">
        <v>1</v>
      </c>
      <c r="K20" s="36">
        <v>260</v>
      </c>
      <c r="M20" s="23" t="str">
        <f>CONCATENATE(CI_!$P$1,E20,", '",F20,"', '",G20,"' , ",H20," , '",I20,"' , ",J20,",",K20)</f>
        <v>EXECUTE [dbo].[PG_CI_STATE_GEO] 0, 10, 139, 17, 'Morelos', 'Morel' , 1 , '#17 // Morelos' , 1,260</v>
      </c>
      <c r="N20" s="11"/>
    </row>
    <row r="21" spans="1:14" s="10" customFormat="1" ht="12" x14ac:dyDescent="0.25">
      <c r="A21" s="19"/>
      <c r="B21" s="20">
        <v>0</v>
      </c>
      <c r="C21" s="20">
        <v>10</v>
      </c>
      <c r="D21" s="20">
        <v>139</v>
      </c>
      <c r="E21" s="35">
        <v>18</v>
      </c>
      <c r="F21" s="21" t="s">
        <v>32</v>
      </c>
      <c r="G21" s="22" t="s">
        <v>67</v>
      </c>
      <c r="H21" s="25">
        <v>1</v>
      </c>
      <c r="I21" s="33" t="str">
        <f t="shared" si="0"/>
        <v>#18 // Nayarit</v>
      </c>
      <c r="J21" s="25">
        <v>1</v>
      </c>
      <c r="K21" s="36">
        <v>260</v>
      </c>
      <c r="M21" s="23" t="str">
        <f>CONCATENATE(CI_!$P$1,E21,", '",F21,"', '",G21,"' , ",H21," , '",I21,"' , ",J21,",",K21)</f>
        <v>EXECUTE [dbo].[PG_CI_STATE_GEO] 0, 10, 139, 18, 'Nayarit', 'Nayar' , 1 , '#18 // Nayarit' , 1,260</v>
      </c>
      <c r="N21" s="11"/>
    </row>
    <row r="22" spans="1:14" s="10" customFormat="1" ht="12" x14ac:dyDescent="0.25">
      <c r="A22" s="19"/>
      <c r="B22" s="20">
        <v>0</v>
      </c>
      <c r="C22" s="20">
        <v>10</v>
      </c>
      <c r="D22" s="20">
        <v>139</v>
      </c>
      <c r="E22" s="35">
        <v>19</v>
      </c>
      <c r="F22" s="21" t="s">
        <v>33</v>
      </c>
      <c r="G22" s="22" t="s">
        <v>68</v>
      </c>
      <c r="H22" s="25">
        <v>1</v>
      </c>
      <c r="I22" s="33" t="str">
        <f t="shared" si="0"/>
        <v>#19 // Nuevo León</v>
      </c>
      <c r="J22" s="25">
        <v>1</v>
      </c>
      <c r="K22" s="36">
        <v>260</v>
      </c>
      <c r="M22" s="23" t="str">
        <f>CONCATENATE(CI_!$P$1,E22,", '",F22,"', '",G22,"' , ",H22," , '",I22,"' , ",J22,",",K22)</f>
        <v>EXECUTE [dbo].[PG_CI_STATE_GEO] 0, 10, 139, 19, 'Nuevo León', 'Nuevo' , 1 , '#19 // Nuevo León' , 1,260</v>
      </c>
      <c r="N22" s="11"/>
    </row>
    <row r="23" spans="1:14" s="10" customFormat="1" ht="12" x14ac:dyDescent="0.25">
      <c r="A23" s="19"/>
      <c r="B23" s="20">
        <v>0</v>
      </c>
      <c r="C23" s="20">
        <v>10</v>
      </c>
      <c r="D23" s="20">
        <v>139</v>
      </c>
      <c r="E23" s="35">
        <v>20</v>
      </c>
      <c r="F23" s="21" t="s">
        <v>34</v>
      </c>
      <c r="G23" s="22" t="s">
        <v>69</v>
      </c>
      <c r="H23" s="25">
        <v>1</v>
      </c>
      <c r="I23" s="33" t="str">
        <f t="shared" si="0"/>
        <v>#20 // Oaxaca</v>
      </c>
      <c r="J23" s="25">
        <v>1</v>
      </c>
      <c r="K23" s="36">
        <v>260</v>
      </c>
      <c r="M23" s="23" t="str">
        <f>CONCATENATE(CI_!$P$1,E23,", '",F23,"', '",G23,"' , ",H23," , '",I23,"' , ",J23,",",K23)</f>
        <v>EXECUTE [dbo].[PG_CI_STATE_GEO] 0, 10, 139, 20, 'Oaxaca', 'Oaxac' , 1 , '#20 // Oaxaca' , 1,260</v>
      </c>
      <c r="N23" s="11"/>
    </row>
    <row r="24" spans="1:14" s="10" customFormat="1" ht="12" x14ac:dyDescent="0.25">
      <c r="A24" s="19"/>
      <c r="B24" s="20">
        <v>0</v>
      </c>
      <c r="C24" s="20">
        <v>10</v>
      </c>
      <c r="D24" s="20">
        <v>139</v>
      </c>
      <c r="E24" s="35">
        <v>21</v>
      </c>
      <c r="F24" s="21" t="s">
        <v>35</v>
      </c>
      <c r="G24" s="22" t="s">
        <v>70</v>
      </c>
      <c r="H24" s="25">
        <v>1</v>
      </c>
      <c r="I24" s="33" t="str">
        <f t="shared" si="0"/>
        <v>#21 // Puebla</v>
      </c>
      <c r="J24" s="25">
        <v>1</v>
      </c>
      <c r="K24" s="36">
        <v>260</v>
      </c>
      <c r="M24" s="23" t="str">
        <f>CONCATENATE(CI_!$P$1,E24,", '",F24,"', '",G24,"' , ",H24," , '",I24,"' , ",J24,",",K24)</f>
        <v>EXECUTE [dbo].[PG_CI_STATE_GEO] 0, 10, 139, 21, 'Puebla', 'Puebl' , 1 , '#21 // Puebla' , 1,260</v>
      </c>
      <c r="N24" s="11"/>
    </row>
    <row r="25" spans="1:14" s="10" customFormat="1" ht="12" x14ac:dyDescent="0.25">
      <c r="A25" s="19"/>
      <c r="B25" s="20">
        <v>0</v>
      </c>
      <c r="C25" s="20">
        <v>10</v>
      </c>
      <c r="D25" s="20">
        <v>139</v>
      </c>
      <c r="E25" s="35">
        <v>22</v>
      </c>
      <c r="F25" s="21" t="s">
        <v>36</v>
      </c>
      <c r="G25" s="22" t="s">
        <v>71</v>
      </c>
      <c r="H25" s="25">
        <v>1</v>
      </c>
      <c r="I25" s="33" t="str">
        <f t="shared" si="0"/>
        <v>#22 // Querétaro</v>
      </c>
      <c r="J25" s="25">
        <v>1</v>
      </c>
      <c r="K25" s="36">
        <v>260</v>
      </c>
      <c r="M25" s="23" t="str">
        <f>CONCATENATE(CI_!$P$1,E25,", '",F25,"', '",G25,"' , ",H25," , '",I25,"' , ",J25,",",K25)</f>
        <v>EXECUTE [dbo].[PG_CI_STATE_GEO] 0, 10, 139, 22, 'Querétaro', 'Queré' , 1 , '#22 // Querétaro' , 1,260</v>
      </c>
      <c r="N25" s="11"/>
    </row>
    <row r="26" spans="1:14" s="10" customFormat="1" ht="12" x14ac:dyDescent="0.25">
      <c r="A26" s="19"/>
      <c r="B26" s="20">
        <v>0</v>
      </c>
      <c r="C26" s="20">
        <v>10</v>
      </c>
      <c r="D26" s="20">
        <v>139</v>
      </c>
      <c r="E26" s="35">
        <v>23</v>
      </c>
      <c r="F26" s="21" t="s">
        <v>37</v>
      </c>
      <c r="G26" s="22" t="s">
        <v>72</v>
      </c>
      <c r="H26" s="25">
        <v>1</v>
      </c>
      <c r="I26" s="33" t="str">
        <f t="shared" si="0"/>
        <v>#23 // Quintana Roo</v>
      </c>
      <c r="J26" s="25">
        <v>1</v>
      </c>
      <c r="K26" s="36">
        <v>260</v>
      </c>
      <c r="M26" s="23" t="str">
        <f>CONCATENATE(CI_!$P$1,E26,", '",F26,"', '",G26,"' , ",H26," , '",I26,"' , ",J26,",",K26)</f>
        <v>EXECUTE [dbo].[PG_CI_STATE_GEO] 0, 10, 139, 23, 'Quintana Roo', 'Quint' , 1 , '#23 // Quintana Roo' , 1,260</v>
      </c>
      <c r="N26" s="11"/>
    </row>
    <row r="27" spans="1:14" s="10" customFormat="1" ht="12" x14ac:dyDescent="0.25">
      <c r="A27" s="19"/>
      <c r="B27" s="20">
        <v>0</v>
      </c>
      <c r="C27" s="20">
        <v>10</v>
      </c>
      <c r="D27" s="20">
        <v>139</v>
      </c>
      <c r="E27" s="35">
        <v>24</v>
      </c>
      <c r="F27" s="21" t="s">
        <v>38</v>
      </c>
      <c r="G27" s="22" t="s">
        <v>51</v>
      </c>
      <c r="H27" s="25">
        <v>1</v>
      </c>
      <c r="I27" s="33" t="str">
        <f t="shared" si="0"/>
        <v>#24 // San Luis Potosí</v>
      </c>
      <c r="J27" s="25">
        <v>1</v>
      </c>
      <c r="K27" s="36">
        <v>260</v>
      </c>
      <c r="M27" s="23" t="str">
        <f>CONCATENATE(CI_!$P$1,E27,", '",F27,"', '",G27,"' , ",H27," , '",I27,"' , ",J27,",",K27)</f>
        <v>EXECUTE [dbo].[PG_CI_STATE_GEO] 0, 10, 139, 24, 'San Luis Potosí', 'SLuis' , 1 , '#24 // San Luis Potosí' , 1,260</v>
      </c>
      <c r="N27" s="11"/>
    </row>
    <row r="28" spans="1:14" s="10" customFormat="1" ht="12" x14ac:dyDescent="0.25">
      <c r="A28" s="19"/>
      <c r="B28" s="20">
        <v>0</v>
      </c>
      <c r="C28" s="20">
        <v>10</v>
      </c>
      <c r="D28" s="20">
        <v>139</v>
      </c>
      <c r="E28" s="35">
        <v>25</v>
      </c>
      <c r="F28" s="21" t="s">
        <v>39</v>
      </c>
      <c r="G28" s="22" t="s">
        <v>73</v>
      </c>
      <c r="H28" s="25">
        <v>1</v>
      </c>
      <c r="I28" s="33" t="str">
        <f t="shared" si="0"/>
        <v>#25 // Sinaloa</v>
      </c>
      <c r="J28" s="25">
        <v>1</v>
      </c>
      <c r="K28" s="36">
        <v>260</v>
      </c>
      <c r="M28" s="23" t="str">
        <f>CONCATENATE(CI_!$P$1,E28,", '",F28,"', '",G28,"' , ",H28," , '",I28,"' , ",J28,",",K28)</f>
        <v>EXECUTE [dbo].[PG_CI_STATE_GEO] 0, 10, 139, 25, 'Sinaloa', 'Sinal' , 1 , '#25 // Sinaloa' , 1,260</v>
      </c>
      <c r="N28" s="11"/>
    </row>
    <row r="29" spans="1:14" s="10" customFormat="1" ht="12" x14ac:dyDescent="0.25">
      <c r="A29" s="19"/>
      <c r="B29" s="20">
        <v>0</v>
      </c>
      <c r="C29" s="20">
        <v>10</v>
      </c>
      <c r="D29" s="20">
        <v>139</v>
      </c>
      <c r="E29" s="35">
        <v>26</v>
      </c>
      <c r="F29" s="21" t="s">
        <v>40</v>
      </c>
      <c r="G29" s="22" t="s">
        <v>74</v>
      </c>
      <c r="H29" s="25">
        <v>1</v>
      </c>
      <c r="I29" s="33" t="str">
        <f t="shared" si="0"/>
        <v>#26 // Sonora</v>
      </c>
      <c r="J29" s="25">
        <v>1</v>
      </c>
      <c r="K29" s="36">
        <v>260</v>
      </c>
      <c r="M29" s="23" t="str">
        <f>CONCATENATE(CI_!$P$1,E29,", '",F29,"', '",G29,"' , ",H29," , '",I29,"' , ",J29,",",K29)</f>
        <v>EXECUTE [dbo].[PG_CI_STATE_GEO] 0, 10, 139, 26, 'Sonora', 'Sonor' , 1 , '#26 // Sonora' , 1,260</v>
      </c>
      <c r="N29" s="11"/>
    </row>
    <row r="30" spans="1:14" s="10" customFormat="1" ht="12" x14ac:dyDescent="0.25">
      <c r="A30" s="19"/>
      <c r="B30" s="20">
        <v>0</v>
      </c>
      <c r="C30" s="20">
        <v>10</v>
      </c>
      <c r="D30" s="20">
        <v>139</v>
      </c>
      <c r="E30" s="35">
        <v>27</v>
      </c>
      <c r="F30" s="21" t="s">
        <v>41</v>
      </c>
      <c r="G30" s="22" t="s">
        <v>75</v>
      </c>
      <c r="H30" s="25">
        <v>1</v>
      </c>
      <c r="I30" s="33" t="str">
        <f t="shared" si="0"/>
        <v>#27 // Tabasco</v>
      </c>
      <c r="J30" s="25">
        <v>1</v>
      </c>
      <c r="K30" s="36">
        <v>260</v>
      </c>
      <c r="M30" s="23" t="str">
        <f>CONCATENATE(CI_!$P$1,E30,", '",F30,"', '",G30,"' , ",H30," , '",I30,"' , ",J30,",",K30)</f>
        <v>EXECUTE [dbo].[PG_CI_STATE_GEO] 0, 10, 139, 27, 'Tabasco', 'Tabas' , 1 , '#27 // Tabasco' , 1,260</v>
      </c>
      <c r="N30" s="11"/>
    </row>
    <row r="31" spans="1:14" s="10" customFormat="1" ht="12" x14ac:dyDescent="0.25">
      <c r="A31" s="19"/>
      <c r="B31" s="20">
        <v>0</v>
      </c>
      <c r="C31" s="20">
        <v>10</v>
      </c>
      <c r="D31" s="20">
        <v>139</v>
      </c>
      <c r="E31" s="35">
        <v>28</v>
      </c>
      <c r="F31" s="21" t="s">
        <v>42</v>
      </c>
      <c r="G31" s="22" t="s">
        <v>76</v>
      </c>
      <c r="H31" s="25">
        <v>1</v>
      </c>
      <c r="I31" s="33" t="str">
        <f t="shared" si="0"/>
        <v>#28 // Tamaulipas</v>
      </c>
      <c r="J31" s="25">
        <v>1</v>
      </c>
      <c r="K31" s="36">
        <v>260</v>
      </c>
      <c r="M31" s="23" t="str">
        <f>CONCATENATE(CI_!$P$1,E31,", '",F31,"', '",G31,"' , ",H31," , '",I31,"' , ",J31,",",K31)</f>
        <v>EXECUTE [dbo].[PG_CI_STATE_GEO] 0, 10, 139, 28, 'Tamaulipas', 'Tamau' , 1 , '#28 // Tamaulipas' , 1,260</v>
      </c>
      <c r="N31" s="11"/>
    </row>
    <row r="32" spans="1:14" s="10" customFormat="1" ht="12" x14ac:dyDescent="0.25">
      <c r="A32" s="19"/>
      <c r="B32" s="20">
        <v>0</v>
      </c>
      <c r="C32" s="20">
        <v>10</v>
      </c>
      <c r="D32" s="20">
        <v>139</v>
      </c>
      <c r="E32" s="35">
        <v>29</v>
      </c>
      <c r="F32" s="21" t="s">
        <v>43</v>
      </c>
      <c r="G32" s="22" t="s">
        <v>77</v>
      </c>
      <c r="H32" s="25">
        <v>1</v>
      </c>
      <c r="I32" s="33" t="str">
        <f t="shared" si="0"/>
        <v>#29 // Tlaxcala</v>
      </c>
      <c r="J32" s="25">
        <v>1</v>
      </c>
      <c r="K32" s="36">
        <v>260</v>
      </c>
      <c r="M32" s="23" t="str">
        <f>CONCATENATE(CI_!$P$1,E32,", '",F32,"', '",G32,"' , ",H32," , '",I32,"' , ",J32,",",K32)</f>
        <v>EXECUTE [dbo].[PG_CI_STATE_GEO] 0, 10, 139, 29, 'Tlaxcala', 'Tlaxc' , 1 , '#29 // Tlaxcala' , 1,260</v>
      </c>
      <c r="N32" s="11"/>
    </row>
    <row r="33" spans="1:14" s="10" customFormat="1" ht="12" x14ac:dyDescent="0.25">
      <c r="A33" s="19"/>
      <c r="B33" s="20">
        <v>0</v>
      </c>
      <c r="C33" s="20">
        <v>10</v>
      </c>
      <c r="D33" s="20">
        <v>139</v>
      </c>
      <c r="E33" s="35">
        <v>30</v>
      </c>
      <c r="F33" s="21" t="s">
        <v>44</v>
      </c>
      <c r="G33" s="22" t="s">
        <v>78</v>
      </c>
      <c r="H33" s="25">
        <v>1</v>
      </c>
      <c r="I33" s="33" t="str">
        <f t="shared" si="0"/>
        <v>#30 // Veracruz de Ignacio de la Llav</v>
      </c>
      <c r="J33" s="25">
        <v>1</v>
      </c>
      <c r="K33" s="36">
        <v>260</v>
      </c>
      <c r="M33" s="23" t="str">
        <f>CONCATENATE(CI_!$P$1,E33,", '",F33,"', '",G33,"' , ",H33," , '",I33,"' , ",J33,",",K33)</f>
        <v>EXECUTE [dbo].[PG_CI_STATE_GEO] 0, 10, 139, 30, 'Veracruz de Ignacio de la Llav', 'Verac' , 1 , '#30 // Veracruz de Ignacio de la Llav' , 1,260</v>
      </c>
      <c r="N33" s="11"/>
    </row>
    <row r="34" spans="1:14" s="10" customFormat="1" ht="12" x14ac:dyDescent="0.25">
      <c r="A34" s="19"/>
      <c r="B34" s="20">
        <v>0</v>
      </c>
      <c r="C34" s="20">
        <v>10</v>
      </c>
      <c r="D34" s="20">
        <v>139</v>
      </c>
      <c r="E34" s="35">
        <v>31</v>
      </c>
      <c r="F34" s="21" t="s">
        <v>45</v>
      </c>
      <c r="G34" s="22" t="s">
        <v>79</v>
      </c>
      <c r="H34" s="25">
        <v>1</v>
      </c>
      <c r="I34" s="33" t="str">
        <f t="shared" si="0"/>
        <v>#31 // Yucatán</v>
      </c>
      <c r="J34" s="25">
        <v>1</v>
      </c>
      <c r="K34" s="36">
        <v>260</v>
      </c>
      <c r="M34" s="23" t="str">
        <f>CONCATENATE(CI_!$P$1,E34,", '",F34,"', '",G34,"' , ",H34," , '",I34,"' , ",J34,",",K34)</f>
        <v>EXECUTE [dbo].[PG_CI_STATE_GEO] 0, 10, 139, 31, 'Yucatán', 'Yucat' , 1 , '#31 // Yucatán' , 1,260</v>
      </c>
      <c r="N34" s="11"/>
    </row>
    <row r="35" spans="1:14" s="10" customFormat="1" ht="12" x14ac:dyDescent="0.25">
      <c r="A35" s="19"/>
      <c r="B35" s="20">
        <v>0</v>
      </c>
      <c r="C35" s="20">
        <v>10</v>
      </c>
      <c r="D35" s="20">
        <v>139</v>
      </c>
      <c r="E35" s="35">
        <v>32</v>
      </c>
      <c r="F35" s="21" t="s">
        <v>46</v>
      </c>
      <c r="G35" s="22" t="s">
        <v>80</v>
      </c>
      <c r="H35" s="25">
        <v>1</v>
      </c>
      <c r="I35" s="33" t="str">
        <f t="shared" si="0"/>
        <v>#32 // Zacatecas</v>
      </c>
      <c r="J35" s="25">
        <v>1</v>
      </c>
      <c r="K35" s="36">
        <v>260</v>
      </c>
      <c r="M35" s="23" t="str">
        <f>CONCATENATE(CI_!$P$1,E35,", '",F35,"', '",G35,"' , ",H35," , '",I35,"' , ",J35,",",K35)</f>
        <v>EXECUTE [dbo].[PG_CI_STATE_GEO] 0, 10, 139, 32, 'Zacatecas', 'Zacat' , 1 , '#32 // Zacatecas' , 1,260</v>
      </c>
      <c r="N35" s="11"/>
    </row>
    <row r="36" spans="1:14" s="10" customFormat="1" x14ac:dyDescent="0.25">
      <c r="A36" s="19"/>
      <c r="B36" s="20"/>
      <c r="C36" s="20"/>
      <c r="D36" s="20"/>
      <c r="E36" s="27"/>
      <c r="F36" s="33"/>
      <c r="G36" s="22"/>
      <c r="H36" s="25"/>
      <c r="I36" s="33"/>
      <c r="J36" s="25"/>
      <c r="K36" s="31"/>
      <c r="M36" s="23"/>
      <c r="N36" s="11"/>
    </row>
    <row r="37" spans="1:14" s="10" customFormat="1" x14ac:dyDescent="0.25">
      <c r="A37" s="19"/>
      <c r="B37" s="20"/>
      <c r="C37" s="20"/>
      <c r="D37" s="20"/>
      <c r="E37" s="27"/>
      <c r="F37" s="33"/>
      <c r="G37" s="22"/>
      <c r="H37" s="25"/>
      <c r="I37" s="33"/>
      <c r="J37" s="25"/>
      <c r="K37" s="31"/>
      <c r="M37" s="23"/>
      <c r="N37" s="11"/>
    </row>
    <row r="38" spans="1:14" s="10" customFormat="1" x14ac:dyDescent="0.25">
      <c r="A38" s="19"/>
      <c r="B38" s="20"/>
      <c r="C38" s="20"/>
      <c r="D38" s="20"/>
      <c r="E38" s="27"/>
      <c r="F38" s="33"/>
      <c r="G38" s="22"/>
      <c r="H38" s="25"/>
      <c r="I38" s="33"/>
      <c r="J38" s="25"/>
      <c r="K38" s="31"/>
      <c r="M38" s="23"/>
      <c r="N38" s="11"/>
    </row>
    <row r="39" spans="1:14" s="10" customFormat="1" x14ac:dyDescent="0.25">
      <c r="A39" s="19"/>
      <c r="B39" s="20"/>
      <c r="C39" s="20"/>
      <c r="D39" s="20"/>
      <c r="E39" s="27"/>
      <c r="F39" s="33"/>
      <c r="G39" s="22"/>
      <c r="H39" s="25"/>
      <c r="I39" s="33"/>
      <c r="J39" s="25"/>
      <c r="K39" s="31"/>
      <c r="M39" s="23"/>
      <c r="N39" s="11"/>
    </row>
    <row r="40" spans="1:14" s="10" customFormat="1" x14ac:dyDescent="0.25">
      <c r="A40" s="19"/>
      <c r="B40" s="20"/>
      <c r="C40" s="20"/>
      <c r="D40" s="20"/>
      <c r="E40" s="27"/>
      <c r="F40" s="33"/>
      <c r="G40" s="22"/>
      <c r="H40" s="25"/>
      <c r="I40" s="33"/>
      <c r="J40" s="25"/>
      <c r="K40" s="31"/>
      <c r="M40" s="23"/>
      <c r="N40" s="11"/>
    </row>
    <row r="41" spans="1:14" s="10" customFormat="1" x14ac:dyDescent="0.25">
      <c r="A41" s="19"/>
      <c r="B41" s="20"/>
      <c r="C41" s="20"/>
      <c r="D41" s="20"/>
      <c r="E41" s="27"/>
      <c r="F41" s="33"/>
      <c r="G41" s="22"/>
      <c r="H41" s="25"/>
      <c r="I41" s="33"/>
      <c r="J41" s="25"/>
      <c r="K41" s="31"/>
      <c r="M41" s="23"/>
      <c r="N41" s="11"/>
    </row>
    <row r="42" spans="1:14" s="10" customFormat="1" x14ac:dyDescent="0.25">
      <c r="A42" s="19"/>
      <c r="B42" s="20"/>
      <c r="C42" s="20"/>
      <c r="D42" s="20"/>
      <c r="E42" s="27"/>
      <c r="F42" s="33"/>
      <c r="G42" s="22"/>
      <c r="H42" s="25"/>
      <c r="I42" s="33"/>
      <c r="J42" s="25"/>
      <c r="K42" s="31"/>
      <c r="M42" s="23"/>
      <c r="N42" s="11"/>
    </row>
    <row r="43" spans="1:14" s="10" customFormat="1" x14ac:dyDescent="0.25">
      <c r="A43" s="19"/>
      <c r="B43" s="20"/>
      <c r="C43" s="20"/>
      <c r="D43" s="20"/>
      <c r="E43" s="27"/>
      <c r="F43" s="33"/>
      <c r="G43" s="22"/>
      <c r="H43" s="25"/>
      <c r="I43" s="33"/>
      <c r="J43" s="25"/>
      <c r="K43" s="31"/>
      <c r="M43" s="23"/>
      <c r="N43" s="11"/>
    </row>
    <row r="44" spans="1:14" s="10" customFormat="1" x14ac:dyDescent="0.25">
      <c r="A44" s="19"/>
      <c r="B44" s="20"/>
      <c r="C44" s="20"/>
      <c r="D44" s="20"/>
      <c r="E44" s="27"/>
      <c r="F44" s="33"/>
      <c r="G44" s="22"/>
      <c r="H44" s="25"/>
      <c r="I44" s="33"/>
      <c r="J44" s="25"/>
      <c r="K44" s="31"/>
      <c r="M44" s="23"/>
      <c r="N44" s="11"/>
    </row>
    <row r="45" spans="1:14" s="10" customFormat="1" x14ac:dyDescent="0.25">
      <c r="A45" s="19"/>
      <c r="B45" s="20"/>
      <c r="C45" s="20"/>
      <c r="D45" s="20"/>
      <c r="E45" s="27"/>
      <c r="F45" s="33"/>
      <c r="G45" s="22"/>
      <c r="H45" s="25"/>
      <c r="I45" s="33"/>
      <c r="J45" s="25"/>
      <c r="K45" s="31"/>
      <c r="M45" s="23"/>
      <c r="N45" s="11"/>
    </row>
    <row r="46" spans="1:14" s="10" customFormat="1" x14ac:dyDescent="0.25">
      <c r="A46" s="19"/>
      <c r="B46" s="20"/>
      <c r="C46" s="20"/>
      <c r="D46" s="20"/>
      <c r="E46" s="27"/>
      <c r="F46" s="33"/>
      <c r="G46" s="22"/>
      <c r="H46" s="25"/>
      <c r="I46" s="33"/>
      <c r="J46" s="25"/>
      <c r="K46" s="31"/>
      <c r="M46" s="23"/>
      <c r="N46" s="11"/>
    </row>
    <row r="47" spans="1:14" s="10" customFormat="1" x14ac:dyDescent="0.25">
      <c r="A47" s="19"/>
      <c r="B47" s="20"/>
      <c r="C47" s="20"/>
      <c r="D47" s="20"/>
      <c r="E47" s="27"/>
      <c r="F47" s="33"/>
      <c r="G47" s="22"/>
      <c r="H47" s="25"/>
      <c r="I47" s="33"/>
      <c r="J47" s="25"/>
      <c r="K47" s="31"/>
      <c r="M47" s="23"/>
      <c r="N47" s="11"/>
    </row>
    <row r="48" spans="1:14" s="10" customFormat="1" x14ac:dyDescent="0.25">
      <c r="A48" s="19"/>
      <c r="B48" s="20"/>
      <c r="C48" s="20"/>
      <c r="D48" s="20"/>
      <c r="E48" s="27"/>
      <c r="F48" s="33"/>
      <c r="G48" s="22"/>
      <c r="H48" s="25"/>
      <c r="I48" s="33"/>
      <c r="J48" s="25"/>
      <c r="K48" s="31"/>
      <c r="M48" s="23"/>
      <c r="N48" s="11"/>
    </row>
    <row r="49" spans="1:14" s="10" customFormat="1" x14ac:dyDescent="0.25">
      <c r="A49" s="19"/>
      <c r="B49" s="20"/>
      <c r="C49" s="20"/>
      <c r="D49" s="20"/>
      <c r="E49" s="27"/>
      <c r="F49" s="33"/>
      <c r="G49" s="22"/>
      <c r="H49" s="25"/>
      <c r="I49" s="33"/>
      <c r="J49" s="25"/>
      <c r="K49" s="31"/>
      <c r="M49" s="23"/>
      <c r="N49" s="11"/>
    </row>
    <row r="50" spans="1:14" s="10" customFormat="1" x14ac:dyDescent="0.25">
      <c r="A50" s="19"/>
      <c r="B50" s="20"/>
      <c r="C50" s="20"/>
      <c r="D50" s="20"/>
      <c r="E50" s="27"/>
      <c r="F50" s="33"/>
      <c r="G50" s="22"/>
      <c r="H50" s="25"/>
      <c r="I50" s="33"/>
      <c r="J50" s="25"/>
      <c r="K50" s="31"/>
      <c r="M50" s="23"/>
      <c r="N50" s="11"/>
    </row>
    <row r="51" spans="1:14" s="10" customFormat="1" x14ac:dyDescent="0.25">
      <c r="A51" s="19"/>
      <c r="B51" s="20"/>
      <c r="C51" s="20"/>
      <c r="D51" s="20"/>
      <c r="E51" s="27"/>
      <c r="F51" s="33"/>
      <c r="G51" s="22"/>
      <c r="H51" s="25"/>
      <c r="I51" s="33"/>
      <c r="J51" s="25"/>
      <c r="K51" s="31"/>
      <c r="M51" s="23"/>
      <c r="N51" s="11"/>
    </row>
    <row r="52" spans="1:14" s="10" customFormat="1" x14ac:dyDescent="0.25">
      <c r="A52" s="19"/>
      <c r="B52" s="20"/>
      <c r="C52" s="20"/>
      <c r="D52" s="20"/>
      <c r="E52" s="27"/>
      <c r="F52" s="33"/>
      <c r="G52" s="22"/>
      <c r="H52" s="25"/>
      <c r="I52" s="33"/>
      <c r="J52" s="25"/>
      <c r="K52" s="31"/>
      <c r="M52" s="23"/>
      <c r="N52" s="11"/>
    </row>
    <row r="53" spans="1:14" s="10" customFormat="1" x14ac:dyDescent="0.25">
      <c r="A53" s="19"/>
      <c r="B53" s="20"/>
      <c r="C53" s="20"/>
      <c r="D53" s="20"/>
      <c r="E53" s="27"/>
      <c r="F53" s="33"/>
      <c r="G53" s="22"/>
      <c r="H53" s="25"/>
      <c r="I53" s="33"/>
      <c r="J53" s="25"/>
      <c r="K53" s="31"/>
      <c r="M53" s="23"/>
      <c r="N53" s="11"/>
    </row>
    <row r="54" spans="1:14" s="10" customFormat="1" x14ac:dyDescent="0.25">
      <c r="A54" s="19"/>
      <c r="B54" s="20"/>
      <c r="C54" s="20"/>
      <c r="D54" s="20"/>
      <c r="E54" s="27"/>
      <c r="F54" s="21"/>
      <c r="G54" s="22"/>
      <c r="H54" s="25"/>
      <c r="I54" s="33"/>
      <c r="J54" s="25"/>
      <c r="K54" s="31"/>
      <c r="M54" s="23"/>
      <c r="N54" s="11"/>
    </row>
    <row r="55" spans="1:14" s="10" customFormat="1" x14ac:dyDescent="0.25">
      <c r="A55" s="19"/>
      <c r="B55" s="20"/>
      <c r="C55" s="20"/>
      <c r="D55" s="20"/>
      <c r="E55" s="27"/>
      <c r="F55" s="21"/>
      <c r="G55" s="22"/>
      <c r="H55" s="25"/>
      <c r="I55" s="33"/>
      <c r="J55" s="25"/>
      <c r="K55" s="31"/>
      <c r="M55" s="23"/>
      <c r="N55" s="11"/>
    </row>
    <row r="56" spans="1:14" s="10" customFormat="1" x14ac:dyDescent="0.25">
      <c r="A56" s="19"/>
      <c r="B56" s="20"/>
      <c r="C56" s="20"/>
      <c r="D56" s="20"/>
      <c r="E56" s="27"/>
      <c r="F56" s="21"/>
      <c r="G56" s="22"/>
      <c r="H56" s="25"/>
      <c r="I56" s="33"/>
      <c r="J56" s="25"/>
      <c r="K56" s="31"/>
      <c r="M56" s="23"/>
      <c r="N56" s="11"/>
    </row>
    <row r="57" spans="1:14" s="10" customFormat="1" x14ac:dyDescent="0.25">
      <c r="A57" s="19"/>
      <c r="B57" s="20"/>
      <c r="C57" s="20"/>
      <c r="D57" s="20"/>
      <c r="E57" s="27"/>
      <c r="F57" s="21"/>
      <c r="G57" s="22"/>
      <c r="H57" s="25"/>
      <c r="I57" s="33"/>
      <c r="J57" s="25"/>
      <c r="K57" s="31"/>
      <c r="M57" s="23"/>
      <c r="N57" s="11"/>
    </row>
    <row r="58" spans="1:14" s="10" customFormat="1" x14ac:dyDescent="0.25">
      <c r="A58" s="19"/>
      <c r="B58" s="20"/>
      <c r="C58" s="20"/>
      <c r="D58" s="20"/>
      <c r="E58" s="27"/>
      <c r="F58" s="21"/>
      <c r="G58" s="22"/>
      <c r="H58" s="25"/>
      <c r="I58" s="33"/>
      <c r="J58" s="25"/>
      <c r="K58" s="31"/>
      <c r="M58" s="23"/>
      <c r="N58" s="11"/>
    </row>
    <row r="59" spans="1:14" s="10" customFormat="1" x14ac:dyDescent="0.25">
      <c r="A59" s="19"/>
      <c r="B59" s="20"/>
      <c r="C59" s="20"/>
      <c r="D59" s="20"/>
      <c r="E59" s="27"/>
      <c r="F59" s="21"/>
      <c r="G59" s="22"/>
      <c r="H59" s="25"/>
      <c r="I59" s="33"/>
      <c r="J59" s="25"/>
      <c r="K59" s="31"/>
      <c r="M59" s="23"/>
      <c r="N59" s="11"/>
    </row>
    <row r="60" spans="1:14" s="10" customFormat="1" x14ac:dyDescent="0.25">
      <c r="A60" s="19"/>
      <c r="B60" s="20"/>
      <c r="C60" s="20"/>
      <c r="D60" s="20"/>
      <c r="E60" s="27"/>
      <c r="F60" s="21"/>
      <c r="G60" s="22"/>
      <c r="H60" s="25"/>
      <c r="I60" s="33"/>
      <c r="J60" s="25"/>
      <c r="K60" s="31"/>
      <c r="M60" s="23"/>
      <c r="N60" s="11"/>
    </row>
    <row r="61" spans="1:14" s="10" customFormat="1" x14ac:dyDescent="0.25">
      <c r="A61" s="19"/>
      <c r="B61" s="20"/>
      <c r="C61" s="20"/>
      <c r="D61" s="20"/>
      <c r="E61" s="27"/>
      <c r="F61" s="21"/>
      <c r="G61" s="22"/>
      <c r="H61" s="25"/>
      <c r="I61" s="33"/>
      <c r="J61" s="25"/>
      <c r="K61" s="31"/>
      <c r="M61" s="23"/>
      <c r="N61" s="11"/>
    </row>
    <row r="62" spans="1:14" s="10" customFormat="1" x14ac:dyDescent="0.25">
      <c r="A62" s="19"/>
      <c r="B62" s="20"/>
      <c r="C62" s="20"/>
      <c r="D62" s="20"/>
      <c r="E62" s="27"/>
      <c r="F62" s="21"/>
      <c r="G62" s="22"/>
      <c r="H62" s="25"/>
      <c r="I62" s="33"/>
      <c r="J62" s="25"/>
      <c r="K62" s="31"/>
      <c r="M62" s="23"/>
      <c r="N62" s="11"/>
    </row>
    <row r="63" spans="1:14" s="10" customFormat="1" x14ac:dyDescent="0.25">
      <c r="A63" s="19"/>
      <c r="B63" s="20"/>
      <c r="C63" s="20"/>
      <c r="D63" s="20"/>
      <c r="E63" s="27"/>
      <c r="F63" s="21"/>
      <c r="G63" s="22"/>
      <c r="H63" s="25"/>
      <c r="I63" s="33"/>
      <c r="J63" s="25"/>
      <c r="K63" s="31"/>
      <c r="M63" s="23"/>
      <c r="N63" s="11"/>
    </row>
    <row r="64" spans="1:14" s="10" customFormat="1" x14ac:dyDescent="0.25">
      <c r="A64" s="19"/>
      <c r="B64" s="20"/>
      <c r="C64" s="20"/>
      <c r="D64" s="20"/>
      <c r="E64" s="27"/>
      <c r="F64" s="21"/>
      <c r="G64" s="22"/>
      <c r="H64" s="25"/>
      <c r="I64" s="33"/>
      <c r="J64" s="25"/>
      <c r="K64" s="31"/>
      <c r="M64" s="23"/>
      <c r="N64" s="11"/>
    </row>
    <row r="65" spans="1:14" s="10" customFormat="1" x14ac:dyDescent="0.25">
      <c r="A65" s="19"/>
      <c r="B65" s="20"/>
      <c r="C65" s="20"/>
      <c r="D65" s="20"/>
      <c r="E65" s="27"/>
      <c r="F65" s="21"/>
      <c r="G65" s="22"/>
      <c r="H65" s="25"/>
      <c r="I65" s="33"/>
      <c r="J65" s="25"/>
      <c r="K65" s="31"/>
      <c r="M65" s="23"/>
      <c r="N65" s="11"/>
    </row>
    <row r="66" spans="1:14" s="10" customFormat="1" x14ac:dyDescent="0.25">
      <c r="A66" s="19"/>
      <c r="B66" s="20"/>
      <c r="C66" s="20"/>
      <c r="D66" s="20"/>
      <c r="E66" s="27"/>
      <c r="F66" s="21"/>
      <c r="G66" s="22"/>
      <c r="H66" s="25"/>
      <c r="I66" s="33"/>
      <c r="J66" s="25"/>
      <c r="K66" s="31"/>
      <c r="M66" s="23"/>
      <c r="N66" s="11"/>
    </row>
    <row r="67" spans="1:14" s="10" customFormat="1" x14ac:dyDescent="0.25">
      <c r="A67" s="19"/>
      <c r="B67" s="20"/>
      <c r="C67" s="20"/>
      <c r="D67" s="20"/>
      <c r="E67" s="27"/>
      <c r="F67" s="21"/>
      <c r="G67" s="22"/>
      <c r="H67" s="25"/>
      <c r="I67" s="33"/>
      <c r="J67" s="25"/>
      <c r="K67" s="31"/>
      <c r="M67" s="23"/>
      <c r="N67" s="11"/>
    </row>
    <row r="68" spans="1:14" s="10" customFormat="1" x14ac:dyDescent="0.25">
      <c r="A68" s="19"/>
      <c r="B68" s="20"/>
      <c r="C68" s="20"/>
      <c r="D68" s="20"/>
      <c r="E68" s="27"/>
      <c r="F68" s="21"/>
      <c r="G68" s="22"/>
      <c r="H68" s="25"/>
      <c r="I68" s="33"/>
      <c r="J68" s="25"/>
      <c r="K68" s="31"/>
      <c r="M68" s="23"/>
      <c r="N68" s="11"/>
    </row>
    <row r="69" spans="1:14" s="10" customFormat="1" x14ac:dyDescent="0.25">
      <c r="A69" s="19"/>
      <c r="B69" s="20"/>
      <c r="C69" s="20"/>
      <c r="D69" s="20"/>
      <c r="E69" s="27"/>
      <c r="F69" s="21"/>
      <c r="G69" s="22"/>
      <c r="H69" s="25"/>
      <c r="I69" s="33"/>
      <c r="J69" s="25"/>
      <c r="K69" s="31"/>
      <c r="M69" s="23"/>
      <c r="N69" s="11"/>
    </row>
    <row r="70" spans="1:14" s="10" customFormat="1" x14ac:dyDescent="0.25">
      <c r="A70" s="19"/>
      <c r="B70" s="20"/>
      <c r="C70" s="20"/>
      <c r="D70" s="20"/>
      <c r="E70" s="27"/>
      <c r="F70" s="21"/>
      <c r="G70" s="22"/>
      <c r="H70" s="25"/>
      <c r="I70" s="33"/>
      <c r="J70" s="25"/>
      <c r="K70" s="31"/>
      <c r="M70" s="23"/>
      <c r="N70" s="11"/>
    </row>
    <row r="71" spans="1:14" s="10" customFormat="1" x14ac:dyDescent="0.25">
      <c r="A71" s="19"/>
      <c r="B71" s="20"/>
      <c r="C71" s="20"/>
      <c r="D71" s="20"/>
      <c r="E71" s="27"/>
      <c r="F71" s="21"/>
      <c r="G71" s="22"/>
      <c r="H71" s="25"/>
      <c r="I71" s="33"/>
      <c r="J71" s="25"/>
      <c r="K71" s="31"/>
      <c r="M71" s="23"/>
      <c r="N71" s="11"/>
    </row>
    <row r="72" spans="1:14" s="10" customFormat="1" x14ac:dyDescent="0.25">
      <c r="A72" s="19"/>
      <c r="B72" s="20"/>
      <c r="C72" s="20"/>
      <c r="D72" s="20"/>
      <c r="E72" s="27"/>
      <c r="F72" s="21"/>
      <c r="G72" s="22"/>
      <c r="H72" s="25"/>
      <c r="I72" s="33"/>
      <c r="J72" s="25"/>
      <c r="K72" s="31"/>
      <c r="M72" s="23"/>
      <c r="N72" s="11"/>
    </row>
    <row r="73" spans="1:14" s="10" customFormat="1" x14ac:dyDescent="0.25">
      <c r="A73" s="19"/>
      <c r="B73" s="20"/>
      <c r="C73" s="20"/>
      <c r="D73" s="20"/>
      <c r="E73" s="27"/>
      <c r="F73" s="21"/>
      <c r="G73" s="22"/>
      <c r="H73" s="25"/>
      <c r="I73" s="33"/>
      <c r="J73" s="25"/>
      <c r="K73" s="31"/>
      <c r="M73" s="23"/>
      <c r="N73" s="11"/>
    </row>
    <row r="74" spans="1:14" s="10" customFormat="1" x14ac:dyDescent="0.25">
      <c r="A74" s="19"/>
      <c r="B74" s="20"/>
      <c r="C74" s="20"/>
      <c r="D74" s="20"/>
      <c r="E74" s="27"/>
      <c r="F74" s="21"/>
      <c r="G74" s="22"/>
      <c r="H74" s="25"/>
      <c r="I74" s="33"/>
      <c r="J74" s="25"/>
      <c r="K74" s="31"/>
      <c r="M74" s="23"/>
      <c r="N74" s="11"/>
    </row>
    <row r="75" spans="1:14" s="10" customFormat="1" x14ac:dyDescent="0.25">
      <c r="A75" s="19"/>
      <c r="B75" s="20"/>
      <c r="C75" s="20"/>
      <c r="D75" s="20"/>
      <c r="E75" s="27"/>
      <c r="F75" s="21"/>
      <c r="G75" s="22"/>
      <c r="H75" s="25"/>
      <c r="I75" s="33"/>
      <c r="J75" s="25"/>
      <c r="K75" s="31"/>
      <c r="M75" s="23"/>
      <c r="N75" s="11"/>
    </row>
    <row r="76" spans="1:14" s="10" customFormat="1" x14ac:dyDescent="0.25">
      <c r="A76" s="19"/>
      <c r="B76" s="20"/>
      <c r="C76" s="20"/>
      <c r="D76" s="20"/>
      <c r="E76" s="27"/>
      <c r="F76" s="21"/>
      <c r="G76" s="22"/>
      <c r="H76" s="25"/>
      <c r="I76" s="33"/>
      <c r="J76" s="25"/>
      <c r="K76" s="31"/>
      <c r="M76" s="23"/>
      <c r="N76" s="11"/>
    </row>
    <row r="77" spans="1:14" s="10" customFormat="1" x14ac:dyDescent="0.25">
      <c r="A77" s="19"/>
      <c r="B77" s="20"/>
      <c r="C77" s="20"/>
      <c r="D77" s="20"/>
      <c r="E77" s="27"/>
      <c r="F77" s="21"/>
      <c r="G77" s="22"/>
      <c r="H77" s="25"/>
      <c r="I77" s="33"/>
      <c r="J77" s="25"/>
      <c r="K77" s="31"/>
      <c r="M77" s="23"/>
      <c r="N77" s="11"/>
    </row>
    <row r="78" spans="1:14" s="10" customFormat="1" x14ac:dyDescent="0.25">
      <c r="A78" s="19"/>
      <c r="B78" s="20"/>
      <c r="C78" s="20"/>
      <c r="D78" s="20"/>
      <c r="E78" s="27"/>
      <c r="F78" s="21"/>
      <c r="G78" s="22"/>
      <c r="H78" s="25"/>
      <c r="I78" s="33"/>
      <c r="J78" s="25"/>
      <c r="K78" s="31"/>
      <c r="M78" s="23"/>
      <c r="N78" s="11"/>
    </row>
    <row r="79" spans="1:14" s="10" customFormat="1" x14ac:dyDescent="0.25">
      <c r="A79" s="19"/>
      <c r="B79" s="20"/>
      <c r="C79" s="20"/>
      <c r="D79" s="20"/>
      <c r="E79" s="27"/>
      <c r="F79" s="21"/>
      <c r="G79" s="22"/>
      <c r="H79" s="25"/>
      <c r="I79" s="33"/>
      <c r="J79" s="25"/>
      <c r="K79" s="31"/>
      <c r="M79" s="23"/>
      <c r="N79" s="11"/>
    </row>
    <row r="80" spans="1:14" s="10" customFormat="1" x14ac:dyDescent="0.25">
      <c r="A80" s="19"/>
      <c r="B80" s="20"/>
      <c r="C80" s="20"/>
      <c r="D80" s="20"/>
      <c r="E80" s="27"/>
      <c r="F80" s="21"/>
      <c r="G80" s="22"/>
      <c r="H80" s="25"/>
      <c r="I80" s="33"/>
      <c r="J80" s="25"/>
      <c r="K80" s="31"/>
      <c r="M80" s="23"/>
      <c r="N80" s="11"/>
    </row>
    <row r="81" spans="1:14" s="10" customFormat="1" x14ac:dyDescent="0.25">
      <c r="A81" s="19"/>
      <c r="B81" s="20"/>
      <c r="C81" s="20"/>
      <c r="D81" s="20"/>
      <c r="E81" s="27"/>
      <c r="F81" s="21"/>
      <c r="G81" s="22"/>
      <c r="H81" s="25"/>
      <c r="I81" s="33"/>
      <c r="J81" s="25"/>
      <c r="K81" s="31"/>
      <c r="M81" s="23"/>
      <c r="N81" s="11"/>
    </row>
    <row r="82" spans="1:14" s="10" customFormat="1" x14ac:dyDescent="0.25">
      <c r="A82" s="19"/>
      <c r="B82" s="20"/>
      <c r="C82" s="20"/>
      <c r="D82" s="20"/>
      <c r="E82" s="27"/>
      <c r="F82" s="21"/>
      <c r="G82" s="22"/>
      <c r="H82" s="25"/>
      <c r="I82" s="33"/>
      <c r="J82" s="25"/>
      <c r="K82" s="31"/>
      <c r="M82" s="23"/>
      <c r="N82" s="11"/>
    </row>
    <row r="83" spans="1:14" s="10" customFormat="1" x14ac:dyDescent="0.25">
      <c r="A83" s="19"/>
      <c r="B83" s="20"/>
      <c r="C83" s="20"/>
      <c r="D83" s="20"/>
      <c r="E83" s="27"/>
      <c r="F83" s="21"/>
      <c r="G83" s="22"/>
      <c r="H83" s="25"/>
      <c r="I83" s="33"/>
      <c r="J83" s="25"/>
      <c r="K83" s="31"/>
      <c r="M83" s="23"/>
      <c r="N83" s="11"/>
    </row>
    <row r="84" spans="1:14" s="10" customFormat="1" x14ac:dyDescent="0.25">
      <c r="A84" s="19"/>
      <c r="B84" s="20"/>
      <c r="C84" s="20"/>
      <c r="D84" s="20"/>
      <c r="E84" s="27"/>
      <c r="F84" s="21"/>
      <c r="G84" s="22"/>
      <c r="H84" s="25"/>
      <c r="I84" s="33"/>
      <c r="J84" s="25"/>
      <c r="K84" s="31"/>
      <c r="M84" s="23"/>
      <c r="N84" s="11"/>
    </row>
    <row r="85" spans="1:14" s="10" customFormat="1" x14ac:dyDescent="0.25">
      <c r="A85" s="19"/>
      <c r="B85" s="20"/>
      <c r="C85" s="20"/>
      <c r="D85" s="20"/>
      <c r="E85" s="27"/>
      <c r="F85" s="21"/>
      <c r="G85" s="22"/>
      <c r="H85" s="25"/>
      <c r="I85" s="33"/>
      <c r="J85" s="25"/>
      <c r="K85" s="31"/>
      <c r="M85" s="23"/>
      <c r="N85" s="11"/>
    </row>
    <row r="86" spans="1:14" s="10" customFormat="1" x14ac:dyDescent="0.25">
      <c r="A86" s="19"/>
      <c r="B86" s="20"/>
      <c r="C86" s="20"/>
      <c r="D86" s="20"/>
      <c r="E86" s="27"/>
      <c r="F86" s="21"/>
      <c r="G86" s="22"/>
      <c r="H86" s="25"/>
      <c r="I86" s="33"/>
      <c r="J86" s="25"/>
      <c r="K86" s="31"/>
      <c r="M86" s="23"/>
      <c r="N86" s="11"/>
    </row>
    <row r="87" spans="1:14" s="10" customFormat="1" x14ac:dyDescent="0.25">
      <c r="A87" s="19"/>
      <c r="B87" s="20"/>
      <c r="C87" s="20"/>
      <c r="D87" s="20"/>
      <c r="E87" s="27"/>
      <c r="F87" s="21"/>
      <c r="G87" s="22"/>
      <c r="H87" s="25"/>
      <c r="I87" s="33"/>
      <c r="J87" s="25"/>
      <c r="K87" s="31"/>
      <c r="M87" s="23"/>
      <c r="N87" s="11"/>
    </row>
    <row r="88" spans="1:14" s="10" customFormat="1" x14ac:dyDescent="0.25">
      <c r="A88" s="19"/>
      <c r="B88" s="20"/>
      <c r="C88" s="20"/>
      <c r="D88" s="20"/>
      <c r="E88" s="27"/>
      <c r="F88" s="21"/>
      <c r="G88" s="22"/>
      <c r="H88" s="25"/>
      <c r="I88" s="33"/>
      <c r="J88" s="25"/>
      <c r="K88" s="31"/>
      <c r="M88" s="23"/>
      <c r="N88" s="11"/>
    </row>
    <row r="89" spans="1:14" s="10" customFormat="1" x14ac:dyDescent="0.25">
      <c r="A89" s="19"/>
      <c r="B89" s="20"/>
      <c r="C89" s="20"/>
      <c r="D89" s="20"/>
      <c r="E89" s="27"/>
      <c r="F89" s="21"/>
      <c r="G89" s="22"/>
      <c r="H89" s="25"/>
      <c r="I89" s="33"/>
      <c r="J89" s="25"/>
      <c r="K89" s="31"/>
      <c r="M89" s="23"/>
      <c r="N89" s="11"/>
    </row>
    <row r="90" spans="1:14" s="10" customFormat="1" x14ac:dyDescent="0.25">
      <c r="A90" s="19"/>
      <c r="B90" s="20"/>
      <c r="C90" s="20"/>
      <c r="D90" s="20"/>
      <c r="E90" s="27"/>
      <c r="F90" s="21"/>
      <c r="G90" s="22"/>
      <c r="H90" s="25"/>
      <c r="I90" s="33"/>
      <c r="J90" s="25"/>
      <c r="K90" s="31"/>
      <c r="M90" s="23"/>
      <c r="N90" s="11"/>
    </row>
    <row r="91" spans="1:14" s="10" customFormat="1" x14ac:dyDescent="0.25">
      <c r="A91" s="19"/>
      <c r="B91" s="20"/>
      <c r="C91" s="20"/>
      <c r="D91" s="20"/>
      <c r="E91" s="27"/>
      <c r="F91" s="21"/>
      <c r="G91" s="22"/>
      <c r="H91" s="25"/>
      <c r="I91" s="33"/>
      <c r="J91" s="25"/>
      <c r="K91" s="31"/>
      <c r="M91" s="23"/>
      <c r="N91" s="11"/>
    </row>
    <row r="92" spans="1:14" s="10" customFormat="1" x14ac:dyDescent="0.25">
      <c r="A92" s="19"/>
      <c r="B92" s="20"/>
      <c r="C92" s="20"/>
      <c r="D92" s="20"/>
      <c r="E92" s="27"/>
      <c r="F92" s="21"/>
      <c r="G92" s="22"/>
      <c r="H92" s="25"/>
      <c r="I92" s="33"/>
      <c r="J92" s="25"/>
      <c r="K92" s="31"/>
      <c r="M92" s="23"/>
      <c r="N92" s="11"/>
    </row>
    <row r="93" spans="1:14" s="10" customFormat="1" x14ac:dyDescent="0.25">
      <c r="A93" s="19"/>
      <c r="B93" s="20"/>
      <c r="C93" s="20"/>
      <c r="D93" s="20"/>
      <c r="E93" s="27"/>
      <c r="F93" s="21"/>
      <c r="G93" s="22"/>
      <c r="H93" s="25"/>
      <c r="I93" s="33"/>
      <c r="J93" s="25"/>
      <c r="K93" s="31"/>
      <c r="M93" s="23"/>
      <c r="N93" s="11"/>
    </row>
    <row r="94" spans="1:14" s="10" customFormat="1" x14ac:dyDescent="0.25">
      <c r="A94" s="19"/>
      <c r="B94" s="20"/>
      <c r="C94" s="20"/>
      <c r="D94" s="20"/>
      <c r="E94" s="27"/>
      <c r="F94" s="21"/>
      <c r="G94" s="22"/>
      <c r="H94" s="25"/>
      <c r="I94" s="33"/>
      <c r="J94" s="25"/>
      <c r="K94" s="31"/>
      <c r="M94" s="23"/>
      <c r="N94" s="11"/>
    </row>
    <row r="95" spans="1:14" s="10" customFormat="1" x14ac:dyDescent="0.25">
      <c r="A95" s="19"/>
      <c r="B95" s="20"/>
      <c r="C95" s="20"/>
      <c r="D95" s="20"/>
      <c r="E95" s="27"/>
      <c r="F95" s="21"/>
      <c r="G95" s="22"/>
      <c r="H95" s="25"/>
      <c r="I95" s="33"/>
      <c r="J95" s="25"/>
      <c r="K95" s="31"/>
      <c r="M95" s="23"/>
      <c r="N95" s="11"/>
    </row>
    <row r="96" spans="1:14" s="10" customFormat="1" x14ac:dyDescent="0.25">
      <c r="A96" s="19"/>
      <c r="B96" s="20"/>
      <c r="C96" s="20"/>
      <c r="D96" s="20"/>
      <c r="E96" s="27"/>
      <c r="F96" s="21"/>
      <c r="G96" s="22"/>
      <c r="H96" s="25"/>
      <c r="I96" s="33"/>
      <c r="J96" s="25"/>
      <c r="K96" s="31"/>
      <c r="M96" s="23"/>
      <c r="N96" s="11"/>
    </row>
    <row r="97" spans="1:14" s="10" customFormat="1" x14ac:dyDescent="0.25">
      <c r="A97" s="19"/>
      <c r="B97" s="20"/>
      <c r="C97" s="20"/>
      <c r="D97" s="20"/>
      <c r="E97" s="27"/>
      <c r="F97" s="21"/>
      <c r="G97" s="22"/>
      <c r="H97" s="25"/>
      <c r="I97" s="33"/>
      <c r="J97" s="25"/>
      <c r="K97" s="31"/>
      <c r="M97" s="23"/>
      <c r="N97" s="11"/>
    </row>
    <row r="98" spans="1:14" s="10" customFormat="1" x14ac:dyDescent="0.25">
      <c r="A98" s="19"/>
      <c r="B98" s="20"/>
      <c r="C98" s="20"/>
      <c r="D98" s="20"/>
      <c r="E98" s="27"/>
      <c r="F98" s="21"/>
      <c r="G98" s="22"/>
      <c r="H98" s="25"/>
      <c r="I98" s="33"/>
      <c r="J98" s="25"/>
      <c r="K98" s="31"/>
      <c r="M98" s="23"/>
      <c r="N98" s="11"/>
    </row>
    <row r="99" spans="1:14" s="10" customFormat="1" x14ac:dyDescent="0.25">
      <c r="A99" s="19"/>
      <c r="B99" s="20"/>
      <c r="C99" s="20"/>
      <c r="D99" s="20"/>
      <c r="E99" s="27"/>
      <c r="F99" s="21"/>
      <c r="G99" s="22"/>
      <c r="H99" s="25"/>
      <c r="I99" s="33"/>
      <c r="J99" s="25"/>
      <c r="K99" s="31"/>
      <c r="M99" s="23"/>
      <c r="N99" s="11"/>
    </row>
    <row r="100" spans="1:14" s="10" customFormat="1" x14ac:dyDescent="0.25">
      <c r="A100" s="19"/>
      <c r="B100" s="20"/>
      <c r="C100" s="20"/>
      <c r="D100" s="20"/>
      <c r="E100" s="27"/>
      <c r="F100" s="21"/>
      <c r="G100" s="22"/>
      <c r="H100" s="25"/>
      <c r="I100" s="33"/>
      <c r="J100" s="25"/>
      <c r="K100" s="31"/>
      <c r="M100" s="23"/>
      <c r="N100" s="11"/>
    </row>
    <row r="101" spans="1:14" s="10" customFormat="1" x14ac:dyDescent="0.25">
      <c r="A101" s="19"/>
      <c r="B101" s="20"/>
      <c r="C101" s="20"/>
      <c r="D101" s="20"/>
      <c r="E101" s="27"/>
      <c r="F101" s="21"/>
      <c r="G101" s="22"/>
      <c r="H101" s="25"/>
      <c r="I101" s="33"/>
      <c r="J101" s="25"/>
      <c r="K101" s="31"/>
      <c r="M101" s="23"/>
      <c r="N101" s="11"/>
    </row>
    <row r="102" spans="1:14" s="10" customFormat="1" x14ac:dyDescent="0.25">
      <c r="A102" s="19"/>
      <c r="B102" s="20"/>
      <c r="C102" s="20"/>
      <c r="D102" s="20"/>
      <c r="E102" s="27"/>
      <c r="F102" s="21"/>
      <c r="G102" s="22"/>
      <c r="H102" s="25"/>
      <c r="I102" s="33"/>
      <c r="J102" s="25"/>
      <c r="K102" s="31"/>
      <c r="M102" s="23"/>
      <c r="N102" s="11"/>
    </row>
    <row r="103" spans="1:14" s="10" customFormat="1" x14ac:dyDescent="0.25">
      <c r="A103" s="19"/>
      <c r="B103" s="20"/>
      <c r="C103" s="20"/>
      <c r="D103" s="20"/>
      <c r="E103" s="27"/>
      <c r="F103" s="21"/>
      <c r="G103" s="22"/>
      <c r="H103" s="25"/>
      <c r="I103" s="33"/>
      <c r="J103" s="25"/>
      <c r="K103" s="31"/>
      <c r="M103" s="23"/>
      <c r="N103" s="11"/>
    </row>
    <row r="104" spans="1:14" s="10" customFormat="1" x14ac:dyDescent="0.25">
      <c r="A104" s="19"/>
      <c r="B104" s="20"/>
      <c r="C104" s="20"/>
      <c r="D104" s="20"/>
      <c r="E104" s="27"/>
      <c r="F104" s="21"/>
      <c r="G104" s="22"/>
      <c r="H104" s="25"/>
      <c r="I104" s="33"/>
      <c r="J104" s="25"/>
      <c r="K104" s="31"/>
      <c r="M104" s="23"/>
      <c r="N104" s="11"/>
    </row>
    <row r="105" spans="1:14" s="10" customFormat="1" x14ac:dyDescent="0.25">
      <c r="A105" s="19"/>
      <c r="B105" s="20"/>
      <c r="C105" s="20"/>
      <c r="D105" s="20"/>
      <c r="E105" s="27"/>
      <c r="F105" s="21"/>
      <c r="G105" s="22"/>
      <c r="H105" s="25"/>
      <c r="I105" s="33"/>
      <c r="J105" s="25"/>
      <c r="K105" s="31"/>
      <c r="M105" s="23"/>
      <c r="N105" s="11"/>
    </row>
    <row r="106" spans="1:14" s="10" customFormat="1" x14ac:dyDescent="0.25">
      <c r="A106" s="19"/>
      <c r="B106" s="20"/>
      <c r="C106" s="20"/>
      <c r="D106" s="20"/>
      <c r="E106" s="27"/>
      <c r="F106" s="21"/>
      <c r="G106" s="22"/>
      <c r="H106" s="25"/>
      <c r="I106" s="33"/>
      <c r="J106" s="25"/>
      <c r="K106" s="31"/>
      <c r="M106" s="23"/>
      <c r="N106" s="11"/>
    </row>
    <row r="107" spans="1:14" s="10" customFormat="1" x14ac:dyDescent="0.25">
      <c r="A107" s="19"/>
      <c r="B107" s="20"/>
      <c r="C107" s="20"/>
      <c r="D107" s="20"/>
      <c r="E107" s="27"/>
      <c r="F107" s="21"/>
      <c r="G107" s="22"/>
      <c r="H107" s="25"/>
      <c r="I107" s="33"/>
      <c r="J107" s="25"/>
      <c r="K107" s="31"/>
      <c r="M107" s="23"/>
      <c r="N107" s="11"/>
    </row>
    <row r="108" spans="1:14" s="10" customFormat="1" x14ac:dyDescent="0.25">
      <c r="A108" s="19"/>
      <c r="B108" s="20"/>
      <c r="C108" s="20"/>
      <c r="D108" s="20"/>
      <c r="E108" s="27"/>
      <c r="F108" s="21"/>
      <c r="G108" s="22"/>
      <c r="H108" s="25"/>
      <c r="I108" s="33"/>
      <c r="J108" s="25"/>
      <c r="K108" s="31"/>
      <c r="M108" s="23"/>
      <c r="N108" s="11"/>
    </row>
    <row r="109" spans="1:14" s="10" customFormat="1" x14ac:dyDescent="0.25">
      <c r="A109" s="19"/>
      <c r="B109" s="20"/>
      <c r="C109" s="20"/>
      <c r="D109" s="20"/>
      <c r="E109" s="27"/>
      <c r="F109" s="21"/>
      <c r="G109" s="22"/>
      <c r="H109" s="25"/>
      <c r="I109" s="33"/>
      <c r="J109" s="25"/>
      <c r="K109" s="31"/>
      <c r="M109" s="23"/>
      <c r="N109" s="11"/>
    </row>
    <row r="110" spans="1:14" s="10" customFormat="1" x14ac:dyDescent="0.25">
      <c r="A110" s="19"/>
      <c r="B110" s="20"/>
      <c r="C110" s="20"/>
      <c r="D110" s="20"/>
      <c r="E110" s="27"/>
      <c r="F110" s="21"/>
      <c r="G110" s="22"/>
      <c r="H110" s="25"/>
      <c r="I110" s="33"/>
      <c r="J110" s="25"/>
      <c r="K110" s="31"/>
      <c r="M110" s="23"/>
      <c r="N110" s="11"/>
    </row>
    <row r="111" spans="1:14" s="10" customFormat="1" x14ac:dyDescent="0.25">
      <c r="A111" s="19"/>
      <c r="B111" s="20"/>
      <c r="C111" s="20"/>
      <c r="D111" s="20"/>
      <c r="E111" s="27"/>
      <c r="F111" s="21"/>
      <c r="G111" s="22"/>
      <c r="H111" s="25"/>
      <c r="I111" s="33"/>
      <c r="J111" s="25"/>
      <c r="K111" s="31"/>
      <c r="M111" s="23"/>
      <c r="N111" s="11"/>
    </row>
    <row r="112" spans="1:14" s="10" customFormat="1" x14ac:dyDescent="0.25">
      <c r="A112" s="19"/>
      <c r="B112" s="20"/>
      <c r="C112" s="20"/>
      <c r="D112" s="20"/>
      <c r="E112" s="27"/>
      <c r="F112" s="21"/>
      <c r="G112" s="22"/>
      <c r="H112" s="25"/>
      <c r="I112" s="33"/>
      <c r="J112" s="25"/>
      <c r="K112" s="31"/>
      <c r="M112" s="23"/>
      <c r="N112" s="11"/>
    </row>
    <row r="113" spans="1:14" s="10" customFormat="1" x14ac:dyDescent="0.25">
      <c r="A113" s="19"/>
      <c r="B113" s="20"/>
      <c r="C113" s="20"/>
      <c r="D113" s="20"/>
      <c r="E113" s="27"/>
      <c r="F113" s="21"/>
      <c r="G113" s="22"/>
      <c r="H113" s="25"/>
      <c r="I113" s="33"/>
      <c r="J113" s="25"/>
      <c r="K113" s="31"/>
      <c r="M113" s="23"/>
      <c r="N113" s="11"/>
    </row>
    <row r="114" spans="1:14" s="10" customFormat="1" x14ac:dyDescent="0.25">
      <c r="A114" s="19"/>
      <c r="B114" s="20"/>
      <c r="C114" s="20"/>
      <c r="D114" s="20"/>
      <c r="E114" s="27"/>
      <c r="F114" s="21"/>
      <c r="G114" s="22"/>
      <c r="H114" s="25"/>
      <c r="I114" s="33"/>
      <c r="J114" s="25"/>
      <c r="K114" s="31"/>
      <c r="M114" s="23"/>
      <c r="N114" s="11"/>
    </row>
    <row r="115" spans="1:14" s="10" customFormat="1" x14ac:dyDescent="0.25">
      <c r="A115" s="19"/>
      <c r="B115" s="20"/>
      <c r="C115" s="20"/>
      <c r="D115" s="20"/>
      <c r="E115" s="27"/>
      <c r="F115" s="21"/>
      <c r="G115" s="22"/>
      <c r="H115" s="25"/>
      <c r="I115" s="33"/>
      <c r="J115" s="25"/>
      <c r="K115" s="31"/>
      <c r="M115" s="23"/>
      <c r="N115" s="11"/>
    </row>
    <row r="116" spans="1:14" s="10" customFormat="1" x14ac:dyDescent="0.25">
      <c r="A116" s="19"/>
      <c r="B116" s="20"/>
      <c r="C116" s="20"/>
      <c r="D116" s="20"/>
      <c r="E116" s="27"/>
      <c r="F116" s="21"/>
      <c r="G116" s="22"/>
      <c r="H116" s="25"/>
      <c r="I116" s="33"/>
      <c r="J116" s="25"/>
      <c r="K116" s="31"/>
      <c r="M116" s="23"/>
      <c r="N116" s="11"/>
    </row>
    <row r="117" spans="1:14" s="10" customFormat="1" x14ac:dyDescent="0.25">
      <c r="A117" s="19"/>
      <c r="B117" s="20"/>
      <c r="C117" s="20"/>
      <c r="D117" s="20"/>
      <c r="E117" s="27"/>
      <c r="F117" s="21"/>
      <c r="G117" s="22"/>
      <c r="H117" s="25"/>
      <c r="I117" s="33"/>
      <c r="J117" s="25"/>
      <c r="K117" s="31"/>
      <c r="M117" s="23"/>
      <c r="N117" s="11"/>
    </row>
    <row r="118" spans="1:14" s="10" customFormat="1" x14ac:dyDescent="0.25">
      <c r="A118" s="19"/>
      <c r="B118" s="20"/>
      <c r="C118" s="20"/>
      <c r="D118" s="20"/>
      <c r="E118" s="27"/>
      <c r="F118" s="21"/>
      <c r="G118" s="22"/>
      <c r="H118" s="25"/>
      <c r="I118" s="33"/>
      <c r="J118" s="25"/>
      <c r="K118" s="31"/>
      <c r="M118" s="23"/>
      <c r="N118" s="11"/>
    </row>
    <row r="119" spans="1:14" s="10" customFormat="1" x14ac:dyDescent="0.25">
      <c r="A119" s="19"/>
      <c r="B119" s="20"/>
      <c r="C119" s="20"/>
      <c r="D119" s="20"/>
      <c r="E119" s="27"/>
      <c r="F119" s="21"/>
      <c r="G119" s="22"/>
      <c r="H119" s="25"/>
      <c r="I119" s="33"/>
      <c r="J119" s="25"/>
      <c r="K119" s="31"/>
      <c r="M119" s="23"/>
      <c r="N119" s="11"/>
    </row>
    <row r="120" spans="1:14" s="10" customFormat="1" x14ac:dyDescent="0.25">
      <c r="A120" s="19"/>
      <c r="B120" s="20"/>
      <c r="C120" s="20"/>
      <c r="D120" s="20"/>
      <c r="E120" s="27"/>
      <c r="F120" s="21"/>
      <c r="G120" s="22"/>
      <c r="H120" s="25"/>
      <c r="I120" s="33"/>
      <c r="J120" s="25"/>
      <c r="K120" s="31"/>
      <c r="M120" s="23"/>
      <c r="N120" s="11"/>
    </row>
    <row r="121" spans="1:14" s="10" customFormat="1" x14ac:dyDescent="0.25">
      <c r="A121" s="19"/>
      <c r="B121" s="20"/>
      <c r="C121" s="20"/>
      <c r="D121" s="20"/>
      <c r="E121" s="27"/>
      <c r="F121" s="21"/>
      <c r="G121" s="22"/>
      <c r="H121" s="25"/>
      <c r="I121" s="33"/>
      <c r="J121" s="25"/>
      <c r="K121" s="31"/>
      <c r="M121" s="23"/>
      <c r="N121" s="11"/>
    </row>
    <row r="122" spans="1:14" s="10" customFormat="1" x14ac:dyDescent="0.25">
      <c r="A122" s="19"/>
      <c r="B122" s="20"/>
      <c r="C122" s="20"/>
      <c r="D122" s="20"/>
      <c r="E122" s="27"/>
      <c r="F122" s="21"/>
      <c r="G122" s="22"/>
      <c r="H122" s="25"/>
      <c r="I122" s="33"/>
      <c r="J122" s="25"/>
      <c r="K122" s="31"/>
      <c r="M122" s="23"/>
      <c r="N122" s="11"/>
    </row>
    <row r="123" spans="1:14" s="10" customFormat="1" x14ac:dyDescent="0.25">
      <c r="A123" s="19"/>
      <c r="B123" s="20"/>
      <c r="C123" s="20"/>
      <c r="D123" s="20"/>
      <c r="E123" s="27"/>
      <c r="F123" s="21"/>
      <c r="G123" s="22"/>
      <c r="H123" s="25"/>
      <c r="I123" s="33"/>
      <c r="J123" s="25"/>
      <c r="K123" s="31"/>
      <c r="M123" s="23"/>
      <c r="N123" s="11"/>
    </row>
    <row r="124" spans="1:14" s="10" customFormat="1" x14ac:dyDescent="0.25">
      <c r="A124" s="19"/>
      <c r="B124" s="20"/>
      <c r="C124" s="20"/>
      <c r="D124" s="20"/>
      <c r="E124" s="27"/>
      <c r="F124" s="21"/>
      <c r="G124" s="22"/>
      <c r="H124" s="25"/>
      <c r="I124" s="33"/>
      <c r="J124" s="25"/>
      <c r="K124" s="31"/>
      <c r="M124" s="23"/>
      <c r="N124" s="11"/>
    </row>
    <row r="125" spans="1:14" s="10" customFormat="1" x14ac:dyDescent="0.25">
      <c r="A125" s="19"/>
      <c r="B125" s="20"/>
      <c r="C125" s="20"/>
      <c r="D125" s="20"/>
      <c r="E125" s="27"/>
      <c r="F125" s="21"/>
      <c r="G125" s="22"/>
      <c r="H125" s="25"/>
      <c r="I125" s="33"/>
      <c r="J125" s="25"/>
      <c r="K125" s="31"/>
      <c r="M125" s="23"/>
      <c r="N125" s="11"/>
    </row>
    <row r="126" spans="1:14" s="10" customFormat="1" x14ac:dyDescent="0.25">
      <c r="A126" s="19"/>
      <c r="B126" s="20"/>
      <c r="C126" s="20"/>
      <c r="D126" s="20"/>
      <c r="E126" s="27"/>
      <c r="F126" s="21"/>
      <c r="G126" s="22"/>
      <c r="H126" s="25"/>
      <c r="I126" s="33"/>
      <c r="J126" s="25"/>
      <c r="K126" s="31"/>
      <c r="M126" s="23"/>
      <c r="N126" s="11"/>
    </row>
    <row r="127" spans="1:14" s="10" customFormat="1" x14ac:dyDescent="0.25">
      <c r="A127" s="19"/>
      <c r="B127" s="20"/>
      <c r="C127" s="20"/>
      <c r="D127" s="20"/>
      <c r="E127" s="27"/>
      <c r="F127" s="21"/>
      <c r="G127" s="22"/>
      <c r="H127" s="25"/>
      <c r="I127" s="33"/>
      <c r="J127" s="25"/>
      <c r="K127" s="31"/>
      <c r="M127" s="23"/>
      <c r="N127" s="11"/>
    </row>
    <row r="128" spans="1:14" s="10" customFormat="1" x14ac:dyDescent="0.25">
      <c r="A128" s="19"/>
      <c r="B128" s="20"/>
      <c r="C128" s="20"/>
      <c r="D128" s="20"/>
      <c r="E128" s="27"/>
      <c r="F128" s="21"/>
      <c r="G128" s="22"/>
      <c r="H128" s="25"/>
      <c r="I128" s="33"/>
      <c r="J128" s="25"/>
      <c r="K128" s="31"/>
      <c r="M128" s="23"/>
      <c r="N128" s="11"/>
    </row>
    <row r="129" spans="1:14" s="10" customFormat="1" x14ac:dyDescent="0.25">
      <c r="A129" s="19"/>
      <c r="B129" s="20"/>
      <c r="C129" s="20"/>
      <c r="D129" s="20"/>
      <c r="E129" s="27"/>
      <c r="F129" s="21"/>
      <c r="G129" s="22"/>
      <c r="H129" s="25"/>
      <c r="I129" s="33"/>
      <c r="J129" s="25"/>
      <c r="K129" s="31"/>
      <c r="M129" s="23"/>
      <c r="N129" s="11"/>
    </row>
    <row r="130" spans="1:14" s="10" customFormat="1" x14ac:dyDescent="0.25">
      <c r="A130" s="19"/>
      <c r="B130" s="20"/>
      <c r="C130" s="20"/>
      <c r="D130" s="20"/>
      <c r="E130" s="27"/>
      <c r="F130" s="21"/>
      <c r="G130" s="22"/>
      <c r="H130" s="25"/>
      <c r="I130" s="33"/>
      <c r="J130" s="25"/>
      <c r="K130" s="31"/>
      <c r="M130" s="23"/>
      <c r="N130" s="11"/>
    </row>
    <row r="131" spans="1:14" s="10" customFormat="1" x14ac:dyDescent="0.25">
      <c r="A131" s="19"/>
      <c r="B131" s="20"/>
      <c r="C131" s="20"/>
      <c r="D131" s="20"/>
      <c r="E131" s="27"/>
      <c r="F131" s="21"/>
      <c r="G131" s="22"/>
      <c r="H131" s="25"/>
      <c r="I131" s="33"/>
      <c r="J131" s="25"/>
      <c r="K131" s="31"/>
      <c r="M131" s="23"/>
      <c r="N131" s="11"/>
    </row>
    <row r="132" spans="1:14" s="10" customFormat="1" x14ac:dyDescent="0.25">
      <c r="A132" s="19"/>
      <c r="B132" s="20"/>
      <c r="C132" s="20"/>
      <c r="D132" s="20"/>
      <c r="E132" s="27"/>
      <c r="F132" s="21"/>
      <c r="G132" s="22"/>
      <c r="H132" s="25"/>
      <c r="I132" s="33"/>
      <c r="J132" s="25"/>
      <c r="K132" s="31"/>
      <c r="M132" s="23"/>
      <c r="N132" s="11"/>
    </row>
    <row r="133" spans="1:14" s="10" customFormat="1" x14ac:dyDescent="0.25">
      <c r="A133" s="19"/>
      <c r="B133" s="20"/>
      <c r="C133" s="20"/>
      <c r="D133" s="20"/>
      <c r="E133" s="27"/>
      <c r="F133" s="21"/>
      <c r="G133" s="22"/>
      <c r="H133" s="25"/>
      <c r="I133" s="33"/>
      <c r="J133" s="25"/>
      <c r="K133" s="31"/>
      <c r="M133" s="23"/>
      <c r="N133" s="11"/>
    </row>
    <row r="134" spans="1:14" s="10" customFormat="1" x14ac:dyDescent="0.25">
      <c r="A134" s="19"/>
      <c r="B134" s="20"/>
      <c r="C134" s="20"/>
      <c r="D134" s="20"/>
      <c r="E134" s="27"/>
      <c r="F134" s="21"/>
      <c r="G134" s="22"/>
      <c r="H134" s="25"/>
      <c r="I134" s="33"/>
      <c r="J134" s="25"/>
      <c r="K134" s="31"/>
      <c r="M134" s="23"/>
      <c r="N134" s="11"/>
    </row>
    <row r="135" spans="1:14" s="10" customFormat="1" x14ac:dyDescent="0.25">
      <c r="A135" s="19"/>
      <c r="B135" s="20"/>
      <c r="C135" s="20"/>
      <c r="D135" s="20"/>
      <c r="E135" s="27"/>
      <c r="F135" s="21"/>
      <c r="G135" s="22"/>
      <c r="H135" s="25"/>
      <c r="I135" s="33"/>
      <c r="J135" s="25"/>
      <c r="K135" s="31"/>
      <c r="M135" s="23"/>
      <c r="N135" s="11"/>
    </row>
    <row r="136" spans="1:14" s="10" customFormat="1" x14ac:dyDescent="0.25">
      <c r="A136" s="19"/>
      <c r="B136" s="20"/>
      <c r="C136" s="20"/>
      <c r="D136" s="20"/>
      <c r="E136" s="27"/>
      <c r="F136" s="21"/>
      <c r="G136" s="22"/>
      <c r="H136" s="25"/>
      <c r="I136" s="33"/>
      <c r="J136" s="25"/>
      <c r="K136" s="31"/>
      <c r="M136" s="23"/>
      <c r="N136" s="11"/>
    </row>
    <row r="137" spans="1:14" s="10" customFormat="1" x14ac:dyDescent="0.25">
      <c r="A137" s="19"/>
      <c r="B137" s="20"/>
      <c r="C137" s="20"/>
      <c r="D137" s="20"/>
      <c r="E137" s="27"/>
      <c r="F137" s="21"/>
      <c r="G137" s="22"/>
      <c r="H137" s="25"/>
      <c r="I137" s="33"/>
      <c r="J137" s="25"/>
      <c r="K137" s="31"/>
      <c r="M137" s="23"/>
      <c r="N137" s="11"/>
    </row>
    <row r="138" spans="1:14" s="10" customFormat="1" x14ac:dyDescent="0.25">
      <c r="A138" s="19"/>
      <c r="B138" s="20"/>
      <c r="C138" s="20"/>
      <c r="D138" s="20"/>
      <c r="E138" s="27"/>
      <c r="F138" s="21"/>
      <c r="G138" s="22"/>
      <c r="H138" s="25"/>
      <c r="I138" s="33"/>
      <c r="J138" s="25"/>
      <c r="K138" s="31"/>
      <c r="M138" s="23"/>
      <c r="N138" s="11"/>
    </row>
    <row r="139" spans="1:14" s="10" customFormat="1" x14ac:dyDescent="0.25">
      <c r="A139" s="19"/>
      <c r="B139" s="20"/>
      <c r="C139" s="20"/>
      <c r="D139" s="20"/>
      <c r="E139" s="27"/>
      <c r="F139" s="21"/>
      <c r="G139" s="22"/>
      <c r="H139" s="25"/>
      <c r="I139" s="33"/>
      <c r="J139" s="25"/>
      <c r="K139" s="31"/>
      <c r="M139" s="23"/>
      <c r="N139" s="11"/>
    </row>
    <row r="140" spans="1:14" s="10" customFormat="1" x14ac:dyDescent="0.25">
      <c r="A140" s="19"/>
      <c r="B140" s="20"/>
      <c r="C140" s="20"/>
      <c r="D140" s="20"/>
      <c r="E140" s="27"/>
      <c r="F140" s="21"/>
      <c r="G140" s="22"/>
      <c r="H140" s="25"/>
      <c r="I140" s="33"/>
      <c r="J140" s="25"/>
      <c r="K140" s="31"/>
      <c r="M140" s="23"/>
      <c r="N140" s="11"/>
    </row>
    <row r="141" spans="1:14" s="10" customFormat="1" x14ac:dyDescent="0.25">
      <c r="A141" s="19"/>
      <c r="B141" s="20"/>
      <c r="C141" s="20"/>
      <c r="D141" s="20"/>
      <c r="E141" s="27"/>
      <c r="F141" s="21"/>
      <c r="G141" s="22"/>
      <c r="H141" s="25"/>
      <c r="I141" s="33"/>
      <c r="J141" s="25"/>
      <c r="K141" s="31"/>
      <c r="M141" s="23"/>
      <c r="N141" s="11"/>
    </row>
    <row r="142" spans="1:14" s="10" customFormat="1" x14ac:dyDescent="0.25">
      <c r="A142" s="19"/>
      <c r="B142" s="20"/>
      <c r="C142" s="20"/>
      <c r="D142" s="20"/>
      <c r="E142" s="27"/>
      <c r="F142" s="21"/>
      <c r="G142" s="22"/>
      <c r="H142" s="25"/>
      <c r="I142" s="33"/>
      <c r="J142" s="25"/>
      <c r="K142" s="31"/>
      <c r="M142" s="23"/>
      <c r="N142" s="11"/>
    </row>
    <row r="143" spans="1:14" s="10" customFormat="1" x14ac:dyDescent="0.25">
      <c r="A143" s="19"/>
      <c r="B143" s="20"/>
      <c r="C143" s="20"/>
      <c r="D143" s="20"/>
      <c r="E143" s="27"/>
      <c r="F143" s="21"/>
      <c r="G143" s="22"/>
      <c r="H143" s="25"/>
      <c r="I143" s="33"/>
      <c r="J143" s="25"/>
      <c r="K143" s="31"/>
      <c r="M143" s="23"/>
      <c r="N143" s="11"/>
    </row>
    <row r="144" spans="1:14" s="10" customFormat="1" x14ac:dyDescent="0.25">
      <c r="A144" s="19"/>
      <c r="B144" s="20"/>
      <c r="C144" s="20"/>
      <c r="D144" s="20"/>
      <c r="E144" s="27"/>
      <c r="F144" s="21"/>
      <c r="G144" s="22"/>
      <c r="H144" s="25"/>
      <c r="I144" s="33"/>
      <c r="J144" s="25"/>
      <c r="K144" s="31"/>
      <c r="M144" s="23"/>
      <c r="N144" s="11"/>
    </row>
    <row r="145" spans="1:14" s="10" customFormat="1" x14ac:dyDescent="0.25">
      <c r="A145" s="19"/>
      <c r="B145" s="20"/>
      <c r="C145" s="20"/>
      <c r="D145" s="20"/>
      <c r="E145" s="27"/>
      <c r="F145" s="21"/>
      <c r="G145" s="22"/>
      <c r="H145" s="25"/>
      <c r="I145" s="33"/>
      <c r="J145" s="25"/>
      <c r="K145" s="31"/>
      <c r="M145" s="23"/>
      <c r="N145" s="11"/>
    </row>
    <row r="146" spans="1:14" s="10" customFormat="1" x14ac:dyDescent="0.25">
      <c r="A146" s="19"/>
      <c r="B146" s="20"/>
      <c r="C146" s="20"/>
      <c r="D146" s="20"/>
      <c r="E146" s="27"/>
      <c r="F146" s="21"/>
      <c r="G146" s="22"/>
      <c r="H146" s="25"/>
      <c r="I146" s="33"/>
      <c r="J146" s="25"/>
      <c r="K146" s="31"/>
      <c r="M146" s="23"/>
      <c r="N146" s="11"/>
    </row>
    <row r="147" spans="1:14" s="10" customFormat="1" x14ac:dyDescent="0.25">
      <c r="A147" s="19"/>
      <c r="B147" s="20"/>
      <c r="C147" s="20"/>
      <c r="D147" s="20"/>
      <c r="E147" s="27"/>
      <c r="F147" s="21"/>
      <c r="G147" s="22"/>
      <c r="H147" s="25"/>
      <c r="I147" s="33"/>
      <c r="J147" s="25"/>
      <c r="K147" s="31"/>
      <c r="M147" s="23"/>
      <c r="N147" s="11"/>
    </row>
    <row r="148" spans="1:14" s="10" customFormat="1" x14ac:dyDescent="0.25">
      <c r="A148" s="19"/>
      <c r="B148" s="20"/>
      <c r="C148" s="20"/>
      <c r="D148" s="20"/>
      <c r="E148" s="27"/>
      <c r="F148" s="21"/>
      <c r="G148" s="22"/>
      <c r="H148" s="25"/>
      <c r="I148" s="33"/>
      <c r="J148" s="25"/>
      <c r="K148" s="31"/>
      <c r="M148" s="23"/>
      <c r="N148" s="11"/>
    </row>
    <row r="149" spans="1:14" s="10" customFormat="1" x14ac:dyDescent="0.25">
      <c r="A149" s="19"/>
      <c r="B149" s="20"/>
      <c r="C149" s="20"/>
      <c r="D149" s="20"/>
      <c r="E149" s="27"/>
      <c r="F149" s="21"/>
      <c r="G149" s="22"/>
      <c r="H149" s="25"/>
      <c r="I149" s="33"/>
      <c r="J149" s="25"/>
      <c r="K149" s="31"/>
      <c r="M149" s="23"/>
      <c r="N149" s="11"/>
    </row>
    <row r="150" spans="1:14" s="10" customFormat="1" x14ac:dyDescent="0.25">
      <c r="A150" s="19"/>
      <c r="B150" s="20"/>
      <c r="C150" s="20"/>
      <c r="D150" s="20"/>
      <c r="E150" s="27"/>
      <c r="F150" s="21"/>
      <c r="G150" s="22"/>
      <c r="H150" s="25"/>
      <c r="I150" s="33"/>
      <c r="J150" s="25"/>
      <c r="K150" s="31"/>
      <c r="M150" s="23"/>
      <c r="N150" s="11"/>
    </row>
    <row r="151" spans="1:14" s="10" customFormat="1" x14ac:dyDescent="0.25">
      <c r="A151" s="19"/>
      <c r="B151" s="20"/>
      <c r="C151" s="20"/>
      <c r="D151" s="20"/>
      <c r="E151" s="27"/>
      <c r="F151" s="21"/>
      <c r="G151" s="22"/>
      <c r="H151" s="25"/>
      <c r="I151" s="33"/>
      <c r="J151" s="25"/>
      <c r="K151" s="31"/>
      <c r="M151" s="23"/>
      <c r="N151" s="11"/>
    </row>
    <row r="152" spans="1:14" s="10" customFormat="1" x14ac:dyDescent="0.25">
      <c r="A152" s="19"/>
      <c r="B152" s="20"/>
      <c r="C152" s="20"/>
      <c r="D152" s="20"/>
      <c r="E152" s="27"/>
      <c r="F152" s="21"/>
      <c r="G152" s="22"/>
      <c r="H152" s="25"/>
      <c r="I152" s="33"/>
      <c r="J152" s="25"/>
      <c r="K152" s="31"/>
      <c r="M152" s="23"/>
      <c r="N152" s="11"/>
    </row>
    <row r="153" spans="1:14" s="10" customFormat="1" x14ac:dyDescent="0.25">
      <c r="A153" s="19"/>
      <c r="B153" s="20"/>
      <c r="C153" s="20"/>
      <c r="D153" s="20"/>
      <c r="E153" s="27"/>
      <c r="F153" s="21"/>
      <c r="G153" s="22"/>
      <c r="H153" s="25"/>
      <c r="I153" s="33"/>
      <c r="J153" s="25"/>
      <c r="K153" s="31"/>
      <c r="M153" s="23"/>
      <c r="N153" s="11"/>
    </row>
    <row r="154" spans="1:14" s="10" customFormat="1" x14ac:dyDescent="0.25">
      <c r="A154" s="19"/>
      <c r="B154" s="20"/>
      <c r="C154" s="20"/>
      <c r="D154" s="20"/>
      <c r="E154" s="27"/>
      <c r="F154" s="21"/>
      <c r="G154" s="22"/>
      <c r="H154" s="25"/>
      <c r="I154" s="33"/>
      <c r="J154" s="25"/>
      <c r="K154" s="31"/>
      <c r="M154" s="23"/>
      <c r="N154" s="11"/>
    </row>
    <row r="155" spans="1:14" s="10" customFormat="1" x14ac:dyDescent="0.25">
      <c r="A155" s="19"/>
      <c r="B155" s="20"/>
      <c r="C155" s="20"/>
      <c r="D155" s="20"/>
      <c r="E155" s="27"/>
      <c r="F155" s="21"/>
      <c r="G155" s="22"/>
      <c r="H155" s="25"/>
      <c r="I155" s="33"/>
      <c r="J155" s="25"/>
      <c r="K155" s="31"/>
      <c r="M155" s="23"/>
      <c r="N155" s="11"/>
    </row>
    <row r="156" spans="1:14" s="10" customFormat="1" x14ac:dyDescent="0.25">
      <c r="A156" s="19"/>
      <c r="B156" s="20"/>
      <c r="C156" s="20"/>
      <c r="D156" s="20"/>
      <c r="E156" s="27"/>
      <c r="F156" s="21"/>
      <c r="G156" s="22"/>
      <c r="H156" s="25"/>
      <c r="I156" s="33"/>
      <c r="J156" s="25"/>
      <c r="K156" s="31"/>
      <c r="M156" s="23"/>
      <c r="N156" s="11"/>
    </row>
    <row r="157" spans="1:14" s="10" customFormat="1" x14ac:dyDescent="0.25">
      <c r="A157" s="19"/>
      <c r="B157" s="20"/>
      <c r="C157" s="20"/>
      <c r="D157" s="20"/>
      <c r="E157" s="27"/>
      <c r="F157" s="21"/>
      <c r="G157" s="22"/>
      <c r="H157" s="25"/>
      <c r="I157" s="33"/>
      <c r="J157" s="25"/>
      <c r="K157" s="31"/>
      <c r="M157" s="23"/>
      <c r="N157" s="11"/>
    </row>
    <row r="158" spans="1:14" s="10" customFormat="1" x14ac:dyDescent="0.25">
      <c r="A158" s="19"/>
      <c r="B158" s="20"/>
      <c r="C158" s="20"/>
      <c r="D158" s="20"/>
      <c r="E158" s="27"/>
      <c r="F158" s="21"/>
      <c r="G158" s="22"/>
      <c r="H158" s="25"/>
      <c r="I158" s="33"/>
      <c r="J158" s="25"/>
      <c r="K158" s="31"/>
      <c r="M158" s="23"/>
      <c r="N158" s="11"/>
    </row>
    <row r="159" spans="1:14" s="10" customFormat="1" x14ac:dyDescent="0.25">
      <c r="A159" s="19"/>
      <c r="B159" s="20"/>
      <c r="C159" s="20"/>
      <c r="D159" s="20"/>
      <c r="E159" s="27"/>
      <c r="F159" s="21"/>
      <c r="G159" s="22"/>
      <c r="H159" s="25"/>
      <c r="I159" s="33"/>
      <c r="J159" s="25"/>
      <c r="K159" s="31"/>
      <c r="M159" s="23"/>
      <c r="N159" s="11"/>
    </row>
    <row r="160" spans="1:14" s="10" customFormat="1" x14ac:dyDescent="0.25">
      <c r="A160" s="19"/>
      <c r="B160" s="20"/>
      <c r="C160" s="20"/>
      <c r="D160" s="20"/>
      <c r="E160" s="27"/>
      <c r="F160" s="21"/>
      <c r="G160" s="22"/>
      <c r="H160" s="25"/>
      <c r="I160" s="33"/>
      <c r="J160" s="25"/>
      <c r="K160" s="31"/>
      <c r="M160" s="23"/>
      <c r="N160" s="11"/>
    </row>
    <row r="161" spans="1:14" s="10" customFormat="1" x14ac:dyDescent="0.25">
      <c r="A161" s="19"/>
      <c r="B161" s="20"/>
      <c r="C161" s="20"/>
      <c r="D161" s="20"/>
      <c r="E161" s="27"/>
      <c r="F161" s="21"/>
      <c r="G161" s="22"/>
      <c r="H161" s="25"/>
      <c r="I161" s="33"/>
      <c r="J161" s="25"/>
      <c r="K161" s="31"/>
      <c r="M161" s="23"/>
      <c r="N161" s="11"/>
    </row>
    <row r="162" spans="1:14" s="10" customFormat="1" x14ac:dyDescent="0.25">
      <c r="A162" s="19"/>
      <c r="B162" s="20"/>
      <c r="C162" s="20"/>
      <c r="D162" s="20"/>
      <c r="E162" s="27"/>
      <c r="F162" s="21"/>
      <c r="G162" s="22"/>
      <c r="H162" s="25"/>
      <c r="I162" s="33"/>
      <c r="J162" s="25"/>
      <c r="K162" s="31"/>
      <c r="M162" s="23"/>
      <c r="N162" s="11"/>
    </row>
    <row r="163" spans="1:14" s="10" customFormat="1" x14ac:dyDescent="0.25">
      <c r="A163" s="19"/>
      <c r="B163" s="20"/>
      <c r="C163" s="20"/>
      <c r="D163" s="20"/>
      <c r="E163" s="27"/>
      <c r="F163" s="21"/>
      <c r="G163" s="22"/>
      <c r="H163" s="25"/>
      <c r="I163" s="33"/>
      <c r="J163" s="25"/>
      <c r="K163" s="31"/>
      <c r="M163" s="23"/>
      <c r="N163" s="11"/>
    </row>
    <row r="164" spans="1:14" s="10" customFormat="1" x14ac:dyDescent="0.25">
      <c r="A164" s="19"/>
      <c r="B164" s="20"/>
      <c r="C164" s="20"/>
      <c r="D164" s="20"/>
      <c r="E164" s="27"/>
      <c r="F164" s="21"/>
      <c r="G164" s="22"/>
      <c r="H164" s="25"/>
      <c r="I164" s="33"/>
      <c r="J164" s="25"/>
      <c r="K164" s="31"/>
      <c r="M164" s="23"/>
      <c r="N164" s="11"/>
    </row>
    <row r="165" spans="1:14" s="10" customFormat="1" x14ac:dyDescent="0.25">
      <c r="A165" s="19"/>
      <c r="B165" s="20"/>
      <c r="C165" s="20"/>
      <c r="D165" s="20"/>
      <c r="E165" s="27"/>
      <c r="F165" s="21"/>
      <c r="G165" s="22"/>
      <c r="H165" s="25"/>
      <c r="I165" s="33"/>
      <c r="J165" s="25"/>
      <c r="K165" s="31"/>
      <c r="M165" s="23"/>
      <c r="N165" s="11"/>
    </row>
    <row r="166" spans="1:14" s="10" customFormat="1" x14ac:dyDescent="0.25">
      <c r="A166" s="19"/>
      <c r="B166" s="20"/>
      <c r="C166" s="20"/>
      <c r="D166" s="20"/>
      <c r="E166" s="27"/>
      <c r="F166" s="21"/>
      <c r="G166" s="22"/>
      <c r="H166" s="25"/>
      <c r="I166" s="33"/>
      <c r="J166" s="25"/>
      <c r="K166" s="31"/>
      <c r="M166" s="23"/>
      <c r="N166" s="11"/>
    </row>
    <row r="167" spans="1:14" s="10" customFormat="1" x14ac:dyDescent="0.25">
      <c r="A167" s="19"/>
      <c r="B167" s="20"/>
      <c r="C167" s="20"/>
      <c r="D167" s="20"/>
      <c r="E167" s="27"/>
      <c r="F167" s="21"/>
      <c r="G167" s="22"/>
      <c r="H167" s="25"/>
      <c r="I167" s="33"/>
      <c r="J167" s="25"/>
      <c r="K167" s="31"/>
      <c r="M167" s="23"/>
      <c r="N167" s="11"/>
    </row>
    <row r="168" spans="1:14" s="10" customFormat="1" x14ac:dyDescent="0.25">
      <c r="A168" s="19"/>
      <c r="B168" s="20"/>
      <c r="C168" s="20"/>
      <c r="D168" s="20"/>
      <c r="E168" s="27"/>
      <c r="F168" s="21"/>
      <c r="G168" s="22"/>
      <c r="H168" s="25"/>
      <c r="I168" s="33"/>
      <c r="J168" s="25"/>
      <c r="K168" s="31"/>
      <c r="M168" s="23"/>
      <c r="N168" s="11"/>
    </row>
    <row r="169" spans="1:14" s="10" customFormat="1" x14ac:dyDescent="0.25">
      <c r="A169" s="19"/>
      <c r="B169" s="20"/>
      <c r="C169" s="20"/>
      <c r="D169" s="20"/>
      <c r="E169" s="27"/>
      <c r="F169" s="21"/>
      <c r="G169" s="22"/>
      <c r="H169" s="25"/>
      <c r="I169" s="33"/>
      <c r="J169" s="25"/>
      <c r="K169" s="31"/>
      <c r="M169" s="23"/>
      <c r="N169" s="11"/>
    </row>
    <row r="170" spans="1:14" s="10" customFormat="1" x14ac:dyDescent="0.25">
      <c r="A170" s="19"/>
      <c r="B170" s="20"/>
      <c r="C170" s="20"/>
      <c r="D170" s="20"/>
      <c r="E170" s="27"/>
      <c r="F170" s="21"/>
      <c r="G170" s="22"/>
      <c r="H170" s="25"/>
      <c r="I170" s="33"/>
      <c r="J170" s="25"/>
      <c r="K170" s="31"/>
      <c r="M170" s="23"/>
      <c r="N170" s="11"/>
    </row>
    <row r="171" spans="1:14" s="10" customFormat="1" x14ac:dyDescent="0.25">
      <c r="A171" s="19"/>
      <c r="B171" s="20"/>
      <c r="C171" s="20"/>
      <c r="D171" s="20"/>
      <c r="E171" s="27"/>
      <c r="F171" s="21"/>
      <c r="G171" s="22"/>
      <c r="H171" s="25"/>
      <c r="I171" s="33"/>
      <c r="J171" s="25"/>
      <c r="K171" s="31"/>
      <c r="M171" s="23"/>
      <c r="N171" s="11"/>
    </row>
    <row r="172" spans="1:14" s="10" customFormat="1" x14ac:dyDescent="0.25">
      <c r="A172" s="19"/>
      <c r="B172" s="20"/>
      <c r="C172" s="20"/>
      <c r="D172" s="20"/>
      <c r="E172" s="27"/>
      <c r="F172" s="21"/>
      <c r="G172" s="22"/>
      <c r="H172" s="25"/>
      <c r="I172" s="33"/>
      <c r="J172" s="25"/>
      <c r="K172" s="31"/>
      <c r="M172" s="23"/>
      <c r="N172" s="11"/>
    </row>
    <row r="173" spans="1:14" s="10" customFormat="1" x14ac:dyDescent="0.25">
      <c r="A173" s="19"/>
      <c r="B173" s="20"/>
      <c r="C173" s="20"/>
      <c r="D173" s="20"/>
      <c r="E173" s="27"/>
      <c r="F173" s="21"/>
      <c r="G173" s="22"/>
      <c r="H173" s="25"/>
      <c r="I173" s="33"/>
      <c r="J173" s="25"/>
      <c r="K173" s="31"/>
      <c r="M173" s="23"/>
      <c r="N173" s="11"/>
    </row>
  </sheetData>
  <autoFilter ref="A1:P11">
    <sortState ref="A2:Q81">
      <sortCondition ref="F1:F11"/>
    </sortState>
  </autoFilter>
  <conditionalFormatting sqref="A1:J1 E56 E60 E64 E68 E72 B56:D58 B60:D62 B64:D66 B68:D70 B72:D74 B76:E76 E86 E82 B77:D79 H81:H86 J77:J79 B54:D54 J54 J81:J86 B81:D86 L1:XFD1">
    <cfRule type="beginsWith" dxfId="35" priority="52" operator="beginsWith" text="[K_">
      <formula>LEFT(A1,LEN("[K_"))="[K_"</formula>
    </cfRule>
  </conditionalFormatting>
  <conditionalFormatting sqref="K1">
    <cfRule type="beginsWith" dxfId="34" priority="41" operator="beginsWith" text="[K_">
      <formula>LEFT(K1,LEN("[K_"))="[K_"</formula>
    </cfRule>
  </conditionalFormatting>
  <conditionalFormatting sqref="B55:E55 B59:E59 B63:E63 B67:E67 B71:E71 B75:E75 J55:J76 E79 E85 E81">
    <cfRule type="beginsWith" dxfId="33" priority="40" operator="beginsWith" text="[K_">
      <formula>LEFT(B55,LEN("[K_"))="[K_"</formula>
    </cfRule>
  </conditionalFormatting>
  <conditionalFormatting sqref="H107:H173 B107:E173 J107:J173">
    <cfRule type="beginsWith" dxfId="32" priority="37" operator="beginsWith" text="[K_">
      <formula>LEFT(B107,LEN("[K_"))="[K_"</formula>
    </cfRule>
  </conditionalFormatting>
  <conditionalFormatting sqref="F107:F1048576 F1:F3 F54:F76">
    <cfRule type="duplicateValues" dxfId="31" priority="36"/>
  </conditionalFormatting>
  <conditionalFormatting sqref="B87:E106">
    <cfRule type="beginsWith" dxfId="30" priority="34" operator="beginsWith" text="[K_">
      <formula>LEFT(B87,LEN("[K_"))="[K_"</formula>
    </cfRule>
  </conditionalFormatting>
  <conditionalFormatting sqref="H87:H106 J87:J106">
    <cfRule type="beginsWith" dxfId="29" priority="33" operator="beginsWith" text="[K_">
      <formula>LEFT(H87,LEN("[K_"))="[K_"</formula>
    </cfRule>
  </conditionalFormatting>
  <conditionalFormatting sqref="F87:F106">
    <cfRule type="duplicateValues" dxfId="28" priority="32"/>
  </conditionalFormatting>
  <conditionalFormatting sqref="F77:F79 F81:F86">
    <cfRule type="duplicateValues" dxfId="27" priority="81"/>
  </conditionalFormatting>
  <conditionalFormatting sqref="E1:E3 E81:E1048576 E54:E79 E39 E43 E47 E51">
    <cfRule type="duplicateValues" dxfId="26" priority="26"/>
  </conditionalFormatting>
  <conditionalFormatting sqref="B80:D80 J80">
    <cfRule type="beginsWith" dxfId="25" priority="25" operator="beginsWith" text="[K_">
      <formula>LEFT(B80,LEN("[K_"))="[K_"</formula>
    </cfRule>
  </conditionalFormatting>
  <conditionalFormatting sqref="F80">
    <cfRule type="duplicateValues" dxfId="24" priority="23"/>
  </conditionalFormatting>
  <conditionalFormatting sqref="E80">
    <cfRule type="duplicateValues" dxfId="23" priority="22"/>
  </conditionalFormatting>
  <conditionalFormatting sqref="E36 E40 E44 E48 E52">
    <cfRule type="duplicateValues" dxfId="22" priority="19"/>
  </conditionalFormatting>
  <conditionalFormatting sqref="E37:E38 E41:E42 E45:E46 E49:E50 E53">
    <cfRule type="duplicateValues" dxfId="21" priority="15"/>
  </conditionalFormatting>
  <conditionalFormatting sqref="H3:J3 B3:D3 I80">
    <cfRule type="beginsWith" dxfId="20" priority="43" operator="beginsWith" text="[K_">
      <formula>LEFT(#REF!,LEN("[K_"))="[K_"</formula>
    </cfRule>
  </conditionalFormatting>
  <conditionalFormatting sqref="I81:I173">
    <cfRule type="beginsWith" dxfId="19" priority="38" operator="beginsWith" text="[K_">
      <formula>LEFT(#REF!,LEN("[K_"))="[K_"</formula>
    </cfRule>
  </conditionalFormatting>
  <conditionalFormatting sqref="I54:I79">
    <cfRule type="beginsWith" dxfId="18" priority="96" operator="beginsWith" text="[K_">
      <formula>LEFT(#REF!,LEN("[K_"))="[K_"</formula>
    </cfRule>
  </conditionalFormatting>
  <conditionalFormatting sqref="H4 J4">
    <cfRule type="beginsWith" dxfId="17" priority="21" operator="beginsWith" text="[K_">
      <formula>LEFT(#REF!,LEN("[K_"))="[K_"</formula>
    </cfRule>
  </conditionalFormatting>
  <conditionalFormatting sqref="B36:D53 J36:J53">
    <cfRule type="beginsWith" dxfId="16" priority="17" operator="beginsWith" text="[K_">
      <formula>LEFT(#REF!,LEN("[K_"))="[K_"</formula>
    </cfRule>
  </conditionalFormatting>
  <conditionalFormatting sqref="H36:H53">
    <cfRule type="beginsWith" dxfId="15" priority="13" operator="beginsWith" text="[K_">
      <formula>LEFT(#REF!,LEN("[K_"))="[K_"</formula>
    </cfRule>
  </conditionalFormatting>
  <conditionalFormatting sqref="F36:F37">
    <cfRule type="beginsWith" dxfId="13" priority="9" operator="beginsWith" text="[K_">
      <formula>LEFT(#REF!,LEN("[K_"))="[K_"</formula>
    </cfRule>
  </conditionalFormatting>
  <conditionalFormatting sqref="F41">
    <cfRule type="beginsWith" dxfId="12" priority="10" operator="beginsWith" text="[K_">
      <formula>LEFT(#REF!,LEN("[K_"))="[K_"</formula>
    </cfRule>
  </conditionalFormatting>
  <conditionalFormatting sqref="F38:F40">
    <cfRule type="beginsWith" dxfId="11" priority="11" operator="beginsWith" text="[K_">
      <formula>LEFT(#REF!,LEN("[K_"))="[K_"</formula>
    </cfRule>
  </conditionalFormatting>
  <conditionalFormatting sqref="F42:F53">
    <cfRule type="beginsWith" dxfId="10" priority="12" operator="beginsWith" text="[K_">
      <formula>LEFT(#REF!,LEN("[K_"))="[K_"</formula>
    </cfRule>
  </conditionalFormatting>
  <conditionalFormatting sqref="I4 I36:I53">
    <cfRule type="beginsWith" dxfId="7" priority="5" operator="beginsWith" text="[K_">
      <formula>LEFT(#REF!,LEN("[K_"))="[K_"</formula>
    </cfRule>
  </conditionalFormatting>
  <conditionalFormatting sqref="B4:D4">
    <cfRule type="beginsWith" dxfId="4" priority="4" operator="beginsWith" text="[K_">
      <formula>LEFT(#REF!,LEN("[K_"))="[K_"</formula>
    </cfRule>
  </conditionalFormatting>
  <conditionalFormatting sqref="H5:H35 J5:J35">
    <cfRule type="beginsWith" dxfId="2" priority="3" operator="beginsWith" text="[K_">
      <formula>LEFT(#REF!,LEN("[K_"))="[K_"</formula>
    </cfRule>
  </conditionalFormatting>
  <conditionalFormatting sqref="I5:I35">
    <cfRule type="beginsWith" dxfId="1" priority="2" operator="beginsWith" text="[K_">
      <formula>LEFT(#REF!,LEN("[K_"))="[K_"</formula>
    </cfRule>
  </conditionalFormatting>
  <conditionalFormatting sqref="B5:D35">
    <cfRule type="beginsWith" dxfId="0" priority="1" operator="beginsWith" text="[K_">
      <formula>LEFT(#REF!,LEN("[K_"))="[K_"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TABLE</vt:lpstr>
      <vt:lpstr>CI_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de la Rosa</dc:creator>
  <cp:lastModifiedBy>AX DE LA ROSA</cp:lastModifiedBy>
  <dcterms:created xsi:type="dcterms:W3CDTF">2018-09-05T16:16:25Z</dcterms:created>
  <dcterms:modified xsi:type="dcterms:W3CDTF">2019-09-13T15:54:56Z</dcterms:modified>
</cp:coreProperties>
</file>